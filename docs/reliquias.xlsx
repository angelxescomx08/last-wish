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web\python\last-wish\docs\"/>
    </mc:Choice>
  </mc:AlternateContent>
  <bookViews>
    <workbookView xWindow="0" yWindow="0" windowWidth="16380" windowHeight="8190" tabRatio="500" activeTab="1"/>
  </bookViews>
  <sheets>
    <sheet name="Resumen" sheetId="1" r:id="rId1"/>
    <sheet name="Reliquias" sheetId="2" r:id="rId2"/>
    <sheet name="Reglas de equilibrio" sheetId="3" r:id="rId3"/>
  </sheets>
  <definedNames>
    <definedName name="_xlnm._FilterDatabase" localSheetId="1" hidden="1">Reliquias!$A$4:$J$159</definedName>
  </definedName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7" i="1" l="1"/>
  <c r="B16" i="1"/>
  <c r="B15" i="1"/>
  <c r="B14" i="1"/>
  <c r="B13" i="1"/>
  <c r="H8" i="1"/>
  <c r="G8" i="1"/>
  <c r="F8" i="1"/>
  <c r="E8" i="1"/>
  <c r="D8" i="1"/>
  <c r="C8" i="1"/>
  <c r="B8" i="1"/>
  <c r="H7" i="1"/>
  <c r="G7" i="1"/>
  <c r="F7" i="1"/>
  <c r="E7" i="1"/>
  <c r="C7" i="1"/>
  <c r="B7" i="1"/>
  <c r="D7" i="1" s="1"/>
  <c r="H6" i="1"/>
  <c r="G6" i="1"/>
  <c r="F6" i="1"/>
  <c r="E6" i="1"/>
  <c r="C6" i="1"/>
  <c r="B6" i="1"/>
  <c r="D6" i="1" s="1"/>
  <c r="H5" i="1"/>
  <c r="G5" i="1"/>
  <c r="F5" i="1"/>
  <c r="E5" i="1"/>
  <c r="C5" i="1"/>
  <c r="C9" i="1" s="1"/>
  <c r="B5" i="1"/>
  <c r="D5" i="1" s="1"/>
  <c r="E9" i="1" l="1"/>
  <c r="H9" i="1"/>
  <c r="G9" i="1"/>
  <c r="F9" i="1"/>
  <c r="D9" i="1"/>
  <c r="B9" i="1"/>
</calcChain>
</file>

<file path=xl/sharedStrings.xml><?xml version="1.0" encoding="utf-8"?>
<sst xmlns="http://schemas.openxmlformats.org/spreadsheetml/2006/main" count="1172" uniqueCount="375">
  <si>
    <t>Resumen de reliquias</t>
  </si>
  <si>
    <t>Se actualiza solo al cambiar los desplegables de Estado.</t>
  </si>
  <si>
    <t>Clase</t>
  </si>
  <si>
    <t>Total</t>
  </si>
  <si>
    <t>Existentes</t>
  </si>
  <si>
    <t>Nuevas</t>
  </si>
  <si>
    <t>Pendiente</t>
  </si>
  <si>
    <t>Aprobada</t>
  </si>
  <si>
    <t>Ajustar</t>
  </si>
  <si>
    <t>Rechazada</t>
  </si>
  <si>
    <t>Neutral</t>
  </si>
  <si>
    <t>Guerrera</t>
  </si>
  <si>
    <t>Mago</t>
  </si>
  <si>
    <t>Pícara</t>
  </si>
  <si>
    <t>Por rareza (nuevas)</t>
  </si>
  <si>
    <t>Rareza</t>
  </si>
  <si>
    <t>Común</t>
  </si>
  <si>
    <t>Poco común</t>
  </si>
  <si>
    <t>Rara</t>
  </si>
  <si>
    <t>Épica</t>
  </si>
  <si>
    <t>Legendaria</t>
  </si>
  <si>
    <t>Reliquias de Last Wish</t>
  </si>
  <si>
    <t>Celdas amarillas para rellenar: Estado (desplegable) y Comentarios. Las 42 reliquias que ya están en el juego aparecen como Aprobadas solo para tener el registro. Columna «Efecto fuerte»: robar cartas, ganar maná, abaratar cartas y eliminar cartas son efectos muy poderosos; deben dar poco o tener una condición difícil (ver hoja «Reglas de equilibrio»).</t>
  </si>
  <si>
    <t>#</t>
  </si>
  <si>
    <t>Reliquia</t>
  </si>
  <si>
    <t>Efecto</t>
  </si>
  <si>
    <t>Categoría</t>
  </si>
  <si>
    <t>Efecto fuerte</t>
  </si>
  <si>
    <t>Origen</t>
  </si>
  <si>
    <t>Estado</t>
  </si>
  <si>
    <t>Comentarios</t>
  </si>
  <si>
    <t>Anillo de Oro</t>
  </si>
  <si>
    <t>+15 de oro extra por victoria de combate.</t>
  </si>
  <si>
    <t>—</t>
  </si>
  <si>
    <t>Existente</t>
  </si>
  <si>
    <t>Poción de Sangre</t>
  </si>
  <si>
    <t>Recupera 8 HP después de cada combate.</t>
  </si>
  <si>
    <t>Amuleto de Vitalidad</t>
  </si>
  <si>
    <t>+10 de HP máximo permanente.</t>
  </si>
  <si>
    <t>Máscara del Ladrón</t>
  </si>
  <si>
    <t>+25% de oro en los combates y la tienda es un 10% más barata.</t>
  </si>
  <si>
    <t>Cicatriz</t>
  </si>
  <si>
    <t>Empiezas cada combate con 1 de Fuerza.</t>
  </si>
  <si>
    <t>Brazal de Guerra</t>
  </si>
  <si>
    <t>Al empezar cada combate ganas 8 de escudo.</t>
  </si>
  <si>
    <t>Orbe de Fuego</t>
  </si>
  <si>
    <t>+2 de daño en todos los ataques.</t>
  </si>
  <si>
    <t>Corazón de Hierro</t>
  </si>
  <si>
    <t>+15 de HP máximo permanente.</t>
  </si>
  <si>
    <t>Moneda de la Suerte</t>
  </si>
  <si>
    <t>Si un efecto al azar golpea dos veces seguidas al mismo enemigo, ganas 1 de maná (una vez por turno).</t>
  </si>
  <si>
    <t>Maná</t>
  </si>
  <si>
    <t>Herradura de Plata</t>
  </si>
  <si>
    <t>+30 de suerte.</t>
  </si>
  <si>
    <t>Tótem Roto</t>
  </si>
  <si>
    <t>+1 carta robada al inicio de cada turno.</t>
  </si>
  <si>
    <t>Robo</t>
  </si>
  <si>
    <t>Piedra de Energía</t>
  </si>
  <si>
    <t>Guante de Seda</t>
  </si>
  <si>
    <t>La tercera carta que juegas cada turno cuesta 0.</t>
  </si>
  <si>
    <t>Botas Silenciosas</t>
  </si>
  <si>
    <t>En el primer turno de cada combate robas 2 cartas extra.</t>
  </si>
  <si>
    <t>Amuleto de Combate</t>
  </si>
  <si>
    <t>+1 maná máximo al inicio del combate.</t>
  </si>
  <si>
    <t>Hilo de Araña</t>
  </si>
  <si>
    <t>Si terminas el turno sin cartas en la mano, ganas 6 de escudo.</t>
  </si>
  <si>
    <t>Llave Maestra</t>
  </si>
  <si>
    <t>Las salas del tesoro te dejan elegir entre 2 reliquias.</t>
  </si>
  <si>
    <t>Interés Compuesto</t>
  </si>
  <si>
    <t>Cada vez que ganas oro, ganas además un 10% de tu oro total.</t>
  </si>
  <si>
    <t>Escudo Espectral</t>
  </si>
  <si>
    <t>Sobrevive una vez con 1 HP a un golpe fatal.</t>
  </si>
  <si>
    <t>Trébol de Siete Hojas</t>
  </si>
  <si>
    <t>+100 de suerte: muchas más cartas y reliquias doradas y de mayor rareza.</t>
  </si>
  <si>
    <t>Panacea</t>
  </si>
  <si>
    <t>Eres inmune a cualquier debuff de los enemigos.</t>
  </si>
  <si>
    <t>Fuente Eterna</t>
  </si>
  <si>
    <t>Al inicio de cada turno ganas 1 de maná máximo.</t>
  </si>
  <si>
    <t>Ankh</t>
  </si>
  <si>
    <t>Al recibir un golpe fatal, revives con toda tu vida (una vez).</t>
  </si>
  <si>
    <t>Espejo Singular</t>
  </si>
  <si>
    <t>Al obtenerla, elimina todas tus cartas repetidas: te quedas con una copia de cada carta.</t>
  </si>
  <si>
    <t>Remover</t>
  </si>
  <si>
    <t>Reloj Roto</t>
  </si>
  <si>
    <t>Una vez por combate, al quedarte en 0 de maná con cartas en la mano, recuperas todo el maná.</t>
  </si>
  <si>
    <t>Colmillo de Hierro</t>
  </si>
  <si>
    <t>Tu primer ataque de cada turno te cura 2.</t>
  </si>
  <si>
    <t>Venda Empapada</t>
  </si>
  <si>
    <t>La primera vez que pierdes vida en tu turno, robas 1 carta.</t>
  </si>
  <si>
    <t>Copa de Sangre</t>
  </si>
  <si>
    <t>Todas tus curaciones en combate curan 2 más.</t>
  </si>
  <si>
    <t>Estandarte Desgarrado</t>
  </si>
  <si>
    <t>Cada 3 veces que activas Furia, ganas 1 de Fuerza.</t>
  </si>
  <si>
    <t>Corazón de Titán</t>
  </si>
  <si>
    <t>La curación que sobrepasa tu vida máxima te da el doble de escudo.</t>
  </si>
  <si>
    <t>Saco de Trapos</t>
  </si>
  <si>
    <t>Cada vez que activas un Despojo, ganas 2 de escudo.</t>
  </si>
  <si>
    <t>Bolsa de Dagas</t>
  </si>
  <si>
    <t>Al inicio de cada combate, mete 2 Dagas Ocultas en tu pila de robo.</t>
  </si>
  <si>
    <t>Broche de Evasión</t>
  </si>
  <si>
    <t>Cada vez que activas un Combo, ganas 1 de bloqueo.</t>
  </si>
  <si>
    <t>Cuchillo Arrojadizo</t>
  </si>
  <si>
    <t>Cada vez que activas un Combo, inflige 1 de daño a un enemigo al azar.</t>
  </si>
  <si>
    <t>Pañuelo del Duelista</t>
  </si>
  <si>
    <t>Cuando una carta activa su Combo, hace +2 de daño y da +2 de escudo.</t>
  </si>
  <si>
    <t>Garfio</t>
  </si>
  <si>
    <t>La primera vez que activas un Despojo cada turno, robas 1 carta.</t>
  </si>
  <si>
    <t>Vaina Afilada</t>
  </si>
  <si>
    <t>Tus Dagas Ocultas hacen +2 de daño.</t>
  </si>
  <si>
    <t>Frasco de Veneno</t>
  </si>
  <si>
    <t>Tu primer ataque de cada turno aplica 1 de Veneno.</t>
  </si>
  <si>
    <t>Cinta Roja</t>
  </si>
  <si>
    <t>En el primer turno de cada combate, tus Combos se activan sin jugar otra carta antes.</t>
  </si>
  <si>
    <t>Bolsillo Roto</t>
  </si>
  <si>
    <t>Al inicio de cada turno, tras robar, descarta una carta al azar y roba 1.</t>
  </si>
  <si>
    <t>Colmillo de Víbora</t>
  </si>
  <si>
    <t>Cuando un enemigo muere envenenado, su Veneno pasa a otro enemigo al azar.</t>
  </si>
  <si>
    <t>Daga Partida</t>
  </si>
  <si>
    <t>Tus efectos de Despojo se activan dos veces.</t>
  </si>
  <si>
    <t>Escalera</t>
  </si>
  <si>
    <t>Si este turno juegas 3 cartas seguidas que cuesten 1 de maná más que la anterior (p. ej. 0-1-2), ganas +1 de Daño y +1 de Destreza para el resto del combate.</t>
  </si>
  <si>
    <t>Combate</t>
  </si>
  <si>
    <t>Idea del usuario</t>
  </si>
  <si>
    <t>Cartas de Diamante</t>
  </si>
  <si>
    <t>Tus cartas doradas pasan a ser de Diamante: se lanzan 3 veces en lugar de 2.</t>
  </si>
  <si>
    <t>Mazo</t>
  </si>
  <si>
    <t>Sello del Coleccionista</t>
  </si>
  <si>
    <t>Ya no te salen cartas Comunes ni Poco comunes en sobres ni recompensas.</t>
  </si>
  <si>
    <t>Pieza Única</t>
  </si>
  <si>
    <t>Si tu mazo no tiene cartas repetidas, la primera carta que juegas cada turno cuesta 1 menos.</t>
  </si>
  <si>
    <t>Tijeras del Sastre</t>
  </si>
  <si>
    <t>Al obtenerla, elimina 3 cartas de tu mazo a tu elección.</t>
  </si>
  <si>
    <t>Piedra de Afilar</t>
  </si>
  <si>
    <t>Tu primer ataque de cada combate hace +6 de daño.</t>
  </si>
  <si>
    <t>Nueva</t>
  </si>
  <si>
    <t>Capa Raída</t>
  </si>
  <si>
    <t>Al final de tu turno, si no tienes escudo, ganas 3.</t>
  </si>
  <si>
    <t>Supervivencia</t>
  </si>
  <si>
    <t>Vela Votiva</t>
  </si>
  <si>
    <t>Al empezar cada combate, el enemigo con más vida recibe 1 de Débil.</t>
  </si>
  <si>
    <t>Bandera Blanca</t>
  </si>
  <si>
    <t>El primer golpe que recibes en cada combate hace 4 menos de daño.</t>
  </si>
  <si>
    <t>Diente de León</t>
  </si>
  <si>
    <t>Cada vez que derrotas a un enemigo, te curas 3.</t>
  </si>
  <si>
    <t>Lámpara de Aceite</t>
  </si>
  <si>
    <t>En tu primer turno de cada combate, tus cartas de escudo dan +3.</t>
  </si>
  <si>
    <t>Fruta Silvestre</t>
  </si>
  <si>
    <t>Al obtenerla, +7 de vida máxima.</t>
  </si>
  <si>
    <t>Antídoto</t>
  </si>
  <si>
    <t>El Veneno que tienes baja 2 por turno en lugar de 1.</t>
  </si>
  <si>
    <t>Bolsa Agujereada</t>
  </si>
  <si>
    <t>Ganas 5 de oro al terminar cada sala.</t>
  </si>
  <si>
    <t>Economía</t>
  </si>
  <si>
    <t>Cantimplora</t>
  </si>
  <si>
    <t>Si ganas un combate sin perder vida, +15 de oro.</t>
  </si>
  <si>
    <t>Vale de Descuento</t>
  </si>
  <si>
    <t>La próxima tienda que visites te regala una carta (se gasta al usarlo).</t>
  </si>
  <si>
    <t>Cuerno de Guerra</t>
  </si>
  <si>
    <t>En el turno 3 de cada combate, tus ataques hacen +4 de daño.</t>
  </si>
  <si>
    <t>Saco de Arena</t>
  </si>
  <si>
    <t>Si terminas el turno habiendo jugado 3 cartas o más, ganas 4 de escudo.</t>
  </si>
  <si>
    <t>Ficha de Ajedrez</t>
  </si>
  <si>
    <t>Si en un turno juegas exactamente 2 cartas, ganas 5 de escudo.</t>
  </si>
  <si>
    <t>Pergamino Viejo</t>
  </si>
  <si>
    <t>La primera Habilidad de cada combate cuesta 0.</t>
  </si>
  <si>
    <t>Pila Ordenada</t>
  </si>
  <si>
    <t>Cada vez que barajas tu descarte en la pila de robo, ganas 4 de escudo.</t>
  </si>
  <si>
    <t>Vendas del Monje</t>
  </si>
  <si>
    <t>El primer debuff que recibes en cada combate no te afecta.</t>
  </si>
  <si>
    <t>Catalejo</t>
  </si>
  <si>
    <t>Puedes ver las 3 primeras cartas de tu pila de robo.</t>
  </si>
  <si>
    <t>Pata de Conejo</t>
  </si>
  <si>
    <t>+15 de suerte.</t>
  </si>
  <si>
    <t>Suerte</t>
  </si>
  <si>
    <t>Pico de Minero</t>
  </si>
  <si>
    <t>Las salas del tesoro dan además 25 de oro.</t>
  </si>
  <si>
    <t>Hucha</t>
  </si>
  <si>
    <t>Al entrar en una tienda, ganas 1 de oro por cada 10 que tengas (máx. 15).</t>
  </si>
  <si>
    <t>Calavera Sonriente</t>
  </si>
  <si>
    <t>Las élites dan +30 de oro.</t>
  </si>
  <si>
    <t>Yunque Portátil</t>
  </si>
  <si>
    <t>Al obtenerla, mejora 1 carta al azar de tu mazo.</t>
  </si>
  <si>
    <t>Dado Cargado</t>
  </si>
  <si>
    <t>Una vez por sobre, puedes volver a tirar las cartas que ofrece.</t>
  </si>
  <si>
    <t>Corona de Espinas</t>
  </si>
  <si>
    <t>Cada vez que un enemigo te golpea, recibe 2 de daño.</t>
  </si>
  <si>
    <t>Amuleto de Escarcha</t>
  </si>
  <si>
    <t>Al empezar cada combate, un enemigo normal al azar queda Congelado (pierde su primera acción). No afecta a jefes ni élites.</t>
  </si>
  <si>
    <t>Lanza de Ruptura</t>
  </si>
  <si>
    <t>Tus ataques contra enemigos con escudo hacen +3 de daño.</t>
  </si>
  <si>
    <t>Péndulo</t>
  </si>
  <si>
    <t>En turnos pares tus ataques hacen +2 de daño; en turnos impares tus cartas de escudo dan +2.</t>
  </si>
  <si>
    <t>Brazalete del Equilibrio</t>
  </si>
  <si>
    <t>Si en un turno juegas tantos Ataques como Habilidades (al menos 1 de cada), ganas 5 de escudo.</t>
  </si>
  <si>
    <t>Cuenco Vacío</t>
  </si>
  <si>
    <t>Al final de tu turno, ganas 3 de escudo por cada maná que no gastaste.</t>
  </si>
  <si>
    <t>Reloj de Arena</t>
  </si>
  <si>
    <t>Cada 4 turnos de combate, robas 1 carta extra.</t>
  </si>
  <si>
    <t>Ancla</t>
  </si>
  <si>
    <t>Tu escudo del primer turno de cada combate no se pierde al empezar el segundo.</t>
  </si>
  <si>
    <t>Cartas Marcadas</t>
  </si>
  <si>
    <t>Al empezar cada combate, eliges 1 carta de tu mazo para que esté en tu mano inicial (en lugar de una al azar).</t>
  </si>
  <si>
    <t>Medalla del Veterano</t>
  </si>
  <si>
    <t>Cada vez que vences a una élite, +3 de vida máxima.</t>
  </si>
  <si>
    <t>Hoja de Laurel</t>
  </si>
  <si>
    <t>Al vencer a un jefe, te curas toda la vida.</t>
  </si>
  <si>
    <t>Tarjeta de Socio</t>
  </si>
  <si>
    <t>La primera compra en cada tienda cuesta la mitad.</t>
  </si>
  <si>
    <t>Trofeo de Caza</t>
  </si>
  <si>
    <t>Si ganas un combate en 3 turnos o menos, +20 de oro.</t>
  </si>
  <si>
    <t>Martillo del Herrero</t>
  </si>
  <si>
    <t>El Brujo te cobra la mitad por mejorar cartas.</t>
  </si>
  <si>
    <t>Lima de Hierro</t>
  </si>
  <si>
    <t>Al obtenerla, elimina 1 carta básica de tu mazo inicial.</t>
  </si>
  <si>
    <t>Lupa del Tasador</t>
  </si>
  <si>
    <t>Las recompensas de combate ofrecen 1 carta más para elegir.</t>
  </si>
  <si>
    <t>Moneda de Dos Caras</t>
  </si>
  <si>
    <t>Una tirada gratis de gachapón por piso.</t>
  </si>
  <si>
    <t>Cadena Rota</t>
  </si>
  <si>
    <t>Las cartas de estado que te meten los enemigos se vuelven Etéreas.</t>
  </si>
  <si>
    <t>Pluma de Fénix</t>
  </si>
  <si>
    <t>Si empiezas un combate con menos de la mitad de vida, te curas 8.</t>
  </si>
  <si>
    <t>Talismán del Último Aliento</t>
  </si>
  <si>
    <t>La primera vez en cada combate que bajas del 25 % de vida, ganas 15 de escudo.</t>
  </si>
  <si>
    <t>Grillete</t>
  </si>
  <si>
    <t>Todos los enemigos empiezan el combate con 1 de Vulnerable.</t>
  </si>
  <si>
    <t>Baraja Mágica</t>
  </si>
  <si>
    <t>La primera vez en cada combate que tu pila de robo se queda vacía, robas 1 carta.</t>
  </si>
  <si>
    <t>Batería Arcana</t>
  </si>
  <si>
    <t>Si terminas el turno con maná sin gastar, guardas 1 para el siguiente turno.</t>
  </si>
  <si>
    <t>Corazón de Piedra</t>
  </si>
  <si>
    <t>+30 de vida máxima, pero no puedes curarte durante los combates.</t>
  </si>
  <si>
    <t>Prisma</t>
  </si>
  <si>
    <t>Tus cartas doradas cuestan 1 menos (mínimo 1).</t>
  </si>
  <si>
    <t>Piedra de Toque</t>
  </si>
  <si>
    <t>Tus cartas mejoradas hacen +2 de daño y dan +2 de escudo.</t>
  </si>
  <si>
    <t>Bolsa sin Fondo</t>
  </si>
  <si>
    <t>Los sobres dorados te dejan quedarte con 3 cartas en lugar de 2.</t>
  </si>
  <si>
    <t>Contrato Maldito</t>
  </si>
  <si>
    <t>+1 de maná por turno, pero cada combate empieza con una carta Herida (Injugable) en tu pila de robo.</t>
  </si>
  <si>
    <t>Dado de Veinte Caras</t>
  </si>
  <si>
    <t>Al empezar cada combate, una carta al azar de tu mano inicial se vuelve dorada durante ese combate.</t>
  </si>
  <si>
    <t>Ampolla de Maná</t>
  </si>
  <si>
    <t>Una vez por combate, si juegas 4 cartas en un turno y te quedas sin maná, recuperas 1.</t>
  </si>
  <si>
    <t>Guantelete de Púas</t>
  </si>
  <si>
    <t>Cada vez que pierdes vida por tus cartas, inflige 2 de daño a un enemigo al azar.</t>
  </si>
  <si>
    <t>Muñequera</t>
  </si>
  <si>
    <t>Tus cartas con Aguante dan +2 de escudo.</t>
  </si>
  <si>
    <t>Venda de Campaña</t>
  </si>
  <si>
    <t>Al final de tu turno, si perdiste vida este turno, te curas 2.</t>
  </si>
  <si>
    <t>Peto Abollado</t>
  </si>
  <si>
    <t>Tus cartas de escudo dan +1 por cada 10 de vida que te faltan.</t>
  </si>
  <si>
    <t>Collar de Colmillos</t>
  </si>
  <si>
    <t>Cada vez que matas a un enemigo, +1 de Fuerza para ese combate.</t>
  </si>
  <si>
    <t>Hacha Mellada</t>
  </si>
  <si>
    <t>Tu primer ataque con Furia de cada turno hace +4 de daño.</t>
  </si>
  <si>
    <t>Odre de Sangre</t>
  </si>
  <si>
    <t>Si empiezas un combate con la vida llena, pierdes 5 y ganas 2 de Fuerza.</t>
  </si>
  <si>
    <t>Gema de Sangre</t>
  </si>
  <si>
    <t>La primera vez que te curas 10 o más en un turno, robas 1 carta.</t>
  </si>
  <si>
    <t>Escudo del Mártir</t>
  </si>
  <si>
    <t>Cada vez que pierdes vida por tus cartas, ganas el doble de esa cantidad en escudo.</t>
  </si>
  <si>
    <t>Cáliz Carmesí</t>
  </si>
  <si>
    <t>Tu curación sobrante también hace ese daño a un enemigo al azar.</t>
  </si>
  <si>
    <t>Tambor de Guerra</t>
  </si>
  <si>
    <t>Cada 3 veces que activas Aguante, +1 de Fuerza.</t>
  </si>
  <si>
    <t>Brasero</t>
  </si>
  <si>
    <t>Si empiezas tu turno sin escudo, tus ataques hacen +3 de daño ese turno.</t>
  </si>
  <si>
    <t>Rodela Gastada</t>
  </si>
  <si>
    <t>Al empezar tu turno, en lugar de perder todo tu escudo, conservas la mitad.</t>
  </si>
  <si>
    <t>Yelmo del Berserker</t>
  </si>
  <si>
    <t>Mientras estés por debajo de la mitad de vida, tus ataques hacen +3 de daño.</t>
  </si>
  <si>
    <t>Runa de Sangre</t>
  </si>
  <si>
    <t>Furia también se activa si un enemigo te hizo daño en su último turno.</t>
  </si>
  <si>
    <t>Estandarte de la Legión</t>
  </si>
  <si>
    <t>Si empiezas tu turno con más escudo que todo el daño que anuncian los enemigos, +1 de Fuerza.</t>
  </si>
  <si>
    <t>Corazón Desbocado</t>
  </si>
  <si>
    <t>Tu Fuerza se duplica al empezar un combate contra un jefe.</t>
  </si>
  <si>
    <t>Hierro Fundido</t>
  </si>
  <si>
    <t>Tu primer ataque de cada turno suma tu escudo a su daño (máx. +15).</t>
  </si>
  <si>
    <t>Yesca</t>
  </si>
  <si>
    <t>Tus cartas que aplican Fuego aplican +1.</t>
  </si>
  <si>
    <t>Concha Marina</t>
  </si>
  <si>
    <t>Tus cartas que aplican Agua aplican +1.</t>
  </si>
  <si>
    <t>Piedra Pómez</t>
  </si>
  <si>
    <t>Tus cartas que aplican Tierra aplican +1.</t>
  </si>
  <si>
    <t>Pluma de Grifo</t>
  </si>
  <si>
    <t>Tus cartas que aplican Aire aplican +1.</t>
  </si>
  <si>
    <t>Varita de Sauce</t>
  </si>
  <si>
    <t>Al empezar cada combate, un enemigo al azar recibe 2 de Agua.</t>
  </si>
  <si>
    <t>Reloj de Agua</t>
  </si>
  <si>
    <t>La primera vez que activas Vacío cada turno, ganas 4 de escudo.</t>
  </si>
  <si>
    <t>Sombrero Puntiagudo</t>
  </si>
  <si>
    <t>Tus cartas de 0 de maná aplican +1 del elemento que tengan.</t>
  </si>
  <si>
    <t>Piedra de Lava</t>
  </si>
  <si>
    <t>Incendio extiende 1 de Fuego más a cada enemigo.</t>
  </si>
  <si>
    <t>Escoba de Brujo</t>
  </si>
  <si>
    <t>Tormenta de Arena aplica Débil 2 en lugar de 1.</t>
  </si>
  <si>
    <t>Caldero</t>
  </si>
  <si>
    <t>Vapor también aplica 1 de Débil.</t>
  </si>
  <si>
    <t>Ascua de Volcán</t>
  </si>
  <si>
    <t>Magma hace además 5 de daño.</t>
  </si>
  <si>
    <t>Orbe de Tormenta</t>
  </si>
  <si>
    <t>Cada reacción que provocas hace 3 de daño a un enemigo al azar.</t>
  </si>
  <si>
    <t>Grimorio en Blanco</t>
  </si>
  <si>
    <t>Cada 3 veces que activas Vacío, robas 1 carta.</t>
  </si>
  <si>
    <t>Fuente Menor</t>
  </si>
  <si>
    <t>Cuando activas Vacío con una carta de 3 de maná o más, recuperas 1 de maná.</t>
  </si>
  <si>
    <t>Cristal de Escarcha</t>
  </si>
  <si>
    <t>Congelar dura 1 turno más en enemigos normales.</t>
  </si>
  <si>
    <t>Lente Prismática</t>
  </si>
  <si>
    <t>La primera reacción de cada combate ocurre 2 veces.</t>
  </si>
  <si>
    <t>Capa del Archimago</t>
  </si>
  <si>
    <t>El Daño del héroe también se suma al daño en área de tus cartas.</t>
  </si>
  <si>
    <t>Anillo de los Cuatro</t>
  </si>
  <si>
    <t>Si en un mismo turno aplicas los 4 elementos, +1 de maná máximo para el resto del combate.</t>
  </si>
  <si>
    <t>Afiladora de Bolsillo</t>
  </si>
  <si>
    <t>La primera Daga Oculta de cada combate hace +4 de daño.</t>
  </si>
  <si>
    <t>Navaja Plegable</t>
  </si>
  <si>
    <t>Al empezar cada combate, el enemigo con menos vida queda con 2 de Marcado.</t>
  </si>
  <si>
    <t>Bolsa de Canicas</t>
  </si>
  <si>
    <t>Al empezar cada combate, descarta 1 carta al azar de tu mano y ganas 3 de escudo (activa Despojo).</t>
  </si>
  <si>
    <t>Botas de Ratero</t>
  </si>
  <si>
    <t>Si ganas un combate sin perder vida, +2 de suerte permanente.</t>
  </si>
  <si>
    <t>Guante de Ladrón</t>
  </si>
  <si>
    <t>Cada vez que descartas por un efecto, ganas 1 de oro (máx. 10 por combate).</t>
  </si>
  <si>
    <t>Veneno de Escorpión</t>
  </si>
  <si>
    <t>El Veneno que aplicas a un enemigo Marcado se duplica.</t>
  </si>
  <si>
    <t>Hilo de Seda Negra</t>
  </si>
  <si>
    <t>El Marcado de los enemigos dura hasta el final de tu siguiente turno.</t>
  </si>
  <si>
    <t>Dado de Hueso</t>
  </si>
  <si>
    <t>Tus cartas de suerte tiran una vez más y se quedan con el mejor resultado.</t>
  </si>
  <si>
    <t>Frasco de Neblina</t>
  </si>
  <si>
    <t>La primera vez que activas Despojo cada turno, el enemigo con más vida recibe 1 de Débil.</t>
  </si>
  <si>
    <t>Ganzúa</t>
  </si>
  <si>
    <t>Las salas del tesoro dan además 20 de oro.</t>
  </si>
  <si>
    <t>Máscara de Arlequín</t>
  </si>
  <si>
    <t>Tu tercer Combo de cada turno hace +5 de daño.</t>
  </si>
  <si>
    <t>Capucha de Sombras</t>
  </si>
  <si>
    <t>En el primer turno de cada combate, el primer ataque enemigo hace la mitad de daño.</t>
  </si>
  <si>
    <t>Pañuelo Envenenado</t>
  </si>
  <si>
    <t>Tu primer Combo de cada turno aplica 2 de Veneno al objetivo.</t>
  </si>
  <si>
    <t>Dagas Gemelas</t>
  </si>
  <si>
    <t>Tus Dagas Ocultas golpean también a otro enemigo por la mitad de daño.</t>
  </si>
  <si>
    <t>Cola de Zorro</t>
  </si>
  <si>
    <t>Tus Dagas Ocultas hacen +1 de daño por cada 3 de Veneno del objetivo.</t>
  </si>
  <si>
    <t>Reloj de Bolsillo Robado</t>
  </si>
  <si>
    <t>Si juegas 6 cartas en un turno, la siguiente cuesta 0.</t>
  </si>
  <si>
    <t>Medallón Singular</t>
  </si>
  <si>
    <t>Si tu mazo no tiene cartas repetidas, empiezas cada combate con 1 Daga Oculta en la mano.</t>
  </si>
  <si>
    <t>Corona del Rey Ladrón</t>
  </si>
  <si>
    <t>Cuando un enemigo muere envenenado, tu siguiente carta cuesta 1 menos.</t>
  </si>
  <si>
    <t>Reglas de equilibrio — efectos muy fuertes</t>
  </si>
  <si>
    <t>Por qué es fuerte</t>
  </si>
  <si>
    <t>Límite recomendado</t>
  </si>
  <si>
    <t>Robar cartas</t>
  </si>
  <si>
    <t>Muy fuerte: más opciones cada turno y llegas antes a tus mejores cartas.</t>
  </si>
  <si>
    <t>Cartas: robar 1, como mucho 2. Reliquias: 1 carta, una vez por turno o por combate, o detrás de una condición difícil (cada 3 Vacíos, pila de robo vacía…).</t>
  </si>
  <si>
    <t>Ganar maná</t>
  </si>
  <si>
    <t>Muy fuerte: cada maná es una carta más jugada por turno.</t>
  </si>
  <si>
    <t>Cartas: +1 de maná como mucho. Reliquias: +1 con condición difícil, una vez por turno o por combate, o con una contrapartida clara (Contrato Maldito).</t>
  </si>
  <si>
    <t>Abaratar cartas</t>
  </si>
  <si>
    <t>Equivale a ganar maná.</t>
  </si>
  <si>
    <t>Misma regla que el maná: 1 de descuento, una vez por turno y con condición.</t>
  </si>
  <si>
    <t>Eliminar cartas del mazo</t>
  </si>
  <si>
    <t>Fuerte: un mazo más pequeño llega antes a sus combos y a las condiciones de victoria.</t>
  </si>
  <si>
    <t>Normalmente 1 carta. Eliminar más (Tijeras del Sastre: 3) solo en Legendaria.</t>
  </si>
  <si>
    <t>Excepción</t>
  </si>
  <si>
    <t>Con condiciones complicadas se puede dar algo más.</t>
  </si>
  <si>
    <t>Cuanto más difícil o arriesgada sea la condición, más puede dar el efecto.</t>
  </si>
  <si>
    <t>Agrega una version para reliquias</t>
  </si>
  <si>
    <t>No me queda claro sería mejor que seas inmune</t>
  </si>
  <si>
    <t>En lugar de carta que sea reliquia</t>
  </si>
  <si>
    <t>Hacer una palabra clave de esto eterea</t>
  </si>
  <si>
    <t>Que no sea una vez por combate que sea por turno porque es legendaria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</si>
</sst>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charset val="1"/>
    </font>
    <font>
      <b/>
      <sz val="14"/>
      <color rgb="FF2F3B5C"/>
      <name val="Arial"/>
      <charset val="1"/>
    </font>
    <font>
      <i/>
      <sz val="9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0"/>
      <color rgb="FFC00000"/>
      <name val="Arial"/>
      <charset val="1"/>
    </font>
    <font>
      <b/>
      <sz val="10"/>
      <color rgb="FF7030A0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2F3B5C"/>
        <bgColor rgb="FF333399"/>
      </patternFill>
    </fill>
    <fill>
      <patternFill patternType="solid">
        <fgColor rgb="FFFFF2CC"/>
        <b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Border="1" applyAlignment="1">
      <alignment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/>
    <xf numFmtId="0" fontId="6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</cellXfs>
  <cellStyles count="1"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B5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zoomScaleNormal="100" workbookViewId="0"/>
  </sheetViews>
  <sheetFormatPr baseColWidth="10" defaultColWidth="8.7109375" defaultRowHeight="15" x14ac:dyDescent="0.25"/>
  <cols>
    <col min="1" max="1" width="20" customWidth="1"/>
    <col min="2" max="8" width="12" customWidth="1"/>
  </cols>
  <sheetData>
    <row r="1" spans="1:8" ht="18" x14ac:dyDescent="0.25">
      <c r="A1" s="2" t="s">
        <v>0</v>
      </c>
    </row>
    <row r="2" spans="1:8" x14ac:dyDescent="0.25">
      <c r="A2" s="3" t="s">
        <v>1</v>
      </c>
    </row>
    <row r="4" spans="1:8" ht="30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s="5" t="s">
        <v>10</v>
      </c>
      <c r="B5" s="6">
        <f>COUNTIF(Reliquias!$C$5:$C$159,A5)</f>
        <v>84</v>
      </c>
      <c r="C5" s="6">
        <f>COUNTIFS(Reliquias!$C$5:$C$159,A5,Reliquias!$H$5:$H$159,"Existente")</f>
        <v>25</v>
      </c>
      <c r="D5" s="6">
        <f>B5-C5</f>
        <v>59</v>
      </c>
      <c r="E5" s="6">
        <f>COUNTIFS(Reliquias!$C$5:$C$159,$A5,Reliquias!$I$5:$I$159,"Pendiente")</f>
        <v>0</v>
      </c>
      <c r="F5" s="6">
        <f>COUNTIFS(Reliquias!$C$5:$C$159,$A5,Reliquias!$I$5:$I$159,"Aprobada")</f>
        <v>84</v>
      </c>
      <c r="G5" s="6">
        <f>COUNTIFS(Reliquias!$C$5:$C$159,$A5,Reliquias!$I$5:$I$159,"Ajustar")</f>
        <v>0</v>
      </c>
      <c r="H5" s="6">
        <f>COUNTIFS(Reliquias!$C$5:$C$159,$A5,Reliquias!$I$5:$I$159,"Rechazada")</f>
        <v>0</v>
      </c>
    </row>
    <row r="6" spans="1:8" x14ac:dyDescent="0.25">
      <c r="A6" s="5" t="s">
        <v>11</v>
      </c>
      <c r="B6" s="6">
        <f>COUNTIF(Reliquias!$C$5:$C$159,A6)</f>
        <v>23</v>
      </c>
      <c r="C6" s="6">
        <f>COUNTIFS(Reliquias!$C$5:$C$159,A6,Reliquias!$H$5:$H$159,"Existente")</f>
        <v>5</v>
      </c>
      <c r="D6" s="6">
        <f>B6-C6</f>
        <v>18</v>
      </c>
      <c r="E6" s="6">
        <f>COUNTIFS(Reliquias!$C$5:$C$159,$A6,Reliquias!$I$5:$I$159,"Pendiente")</f>
        <v>0</v>
      </c>
      <c r="F6" s="6">
        <f>COUNTIFS(Reliquias!$C$5:$C$159,$A6,Reliquias!$I$5:$I$159,"Aprobada")</f>
        <v>23</v>
      </c>
      <c r="G6" s="6">
        <f>COUNTIFS(Reliquias!$C$5:$C$159,$A6,Reliquias!$I$5:$I$159,"Ajustar")</f>
        <v>0</v>
      </c>
      <c r="H6" s="6">
        <f>COUNTIFS(Reliquias!$C$5:$C$159,$A6,Reliquias!$I$5:$I$159,"Rechazada")</f>
        <v>0</v>
      </c>
    </row>
    <row r="7" spans="1:8" x14ac:dyDescent="0.25">
      <c r="A7" s="5" t="s">
        <v>12</v>
      </c>
      <c r="B7" s="6">
        <f>COUNTIF(Reliquias!$C$5:$C$159,A7)</f>
        <v>18</v>
      </c>
      <c r="C7" s="6">
        <f>COUNTIFS(Reliquias!$C$5:$C$159,A7,Reliquias!$H$5:$H$159,"Existente")</f>
        <v>0</v>
      </c>
      <c r="D7" s="6">
        <f>B7-C7</f>
        <v>18</v>
      </c>
      <c r="E7" s="6">
        <f>COUNTIFS(Reliquias!$C$5:$C$159,$A7,Reliquias!$I$5:$I$159,"Pendiente")</f>
        <v>0</v>
      </c>
      <c r="F7" s="6">
        <f>COUNTIFS(Reliquias!$C$5:$C$159,$A7,Reliquias!$I$5:$I$159,"Aprobada")</f>
        <v>18</v>
      </c>
      <c r="G7" s="6">
        <f>COUNTIFS(Reliquias!$C$5:$C$159,$A7,Reliquias!$I$5:$I$159,"Ajustar")</f>
        <v>0</v>
      </c>
      <c r="H7" s="6">
        <f>COUNTIFS(Reliquias!$C$5:$C$159,$A7,Reliquias!$I$5:$I$159,"Rechazada")</f>
        <v>0</v>
      </c>
    </row>
    <row r="8" spans="1:8" x14ac:dyDescent="0.25">
      <c r="A8" s="5" t="s">
        <v>13</v>
      </c>
      <c r="B8" s="6">
        <f>COUNTIF(Reliquias!$C$5:$C$159,A8)</f>
        <v>30</v>
      </c>
      <c r="C8" s="6">
        <f>COUNTIFS(Reliquias!$C$5:$C$159,A8,Reliquias!$H$5:$H$159,"Existente")</f>
        <v>12</v>
      </c>
      <c r="D8" s="6">
        <f>B8-C8</f>
        <v>18</v>
      </c>
      <c r="E8" s="6">
        <f>COUNTIFS(Reliquias!$C$5:$C$159,$A8,Reliquias!$I$5:$I$159,"Pendiente")</f>
        <v>0</v>
      </c>
      <c r="F8" s="6">
        <f>COUNTIFS(Reliquias!$C$5:$C$159,$A8,Reliquias!$I$5:$I$159,"Aprobada")</f>
        <v>30</v>
      </c>
      <c r="G8" s="6">
        <f>COUNTIFS(Reliquias!$C$5:$C$159,$A8,Reliquias!$I$5:$I$159,"Ajustar")</f>
        <v>0</v>
      </c>
      <c r="H8" s="6">
        <f>COUNTIFS(Reliquias!$C$5:$C$159,$A8,Reliquias!$I$5:$I$159,"Rechazada")</f>
        <v>0</v>
      </c>
    </row>
    <row r="9" spans="1:8" x14ac:dyDescent="0.25">
      <c r="A9" s="7" t="s">
        <v>3</v>
      </c>
      <c r="B9" s="8">
        <f t="shared" ref="B9:H9" si="0">SUM(B5:B8)</f>
        <v>155</v>
      </c>
      <c r="C9" s="8">
        <f t="shared" si="0"/>
        <v>42</v>
      </c>
      <c r="D9" s="8">
        <f t="shared" si="0"/>
        <v>113</v>
      </c>
      <c r="E9" s="8">
        <f t="shared" si="0"/>
        <v>0</v>
      </c>
      <c r="F9" s="8">
        <f t="shared" si="0"/>
        <v>155</v>
      </c>
      <c r="G9" s="8">
        <f t="shared" si="0"/>
        <v>0</v>
      </c>
      <c r="H9" s="8">
        <f t="shared" si="0"/>
        <v>0</v>
      </c>
    </row>
    <row r="11" spans="1:8" x14ac:dyDescent="0.25">
      <c r="A11" s="9" t="s">
        <v>14</v>
      </c>
    </row>
    <row r="12" spans="1:8" x14ac:dyDescent="0.25">
      <c r="A12" s="4" t="s">
        <v>15</v>
      </c>
      <c r="B12" s="4" t="s">
        <v>5</v>
      </c>
    </row>
    <row r="13" spans="1:8" x14ac:dyDescent="0.25">
      <c r="A13" s="5" t="s">
        <v>16</v>
      </c>
      <c r="B13" s="5">
        <f>COUNTIFS(Reliquias!$D$5:$D$159,A13,Reliquias!$H$5:$H$159,"&lt;&gt;Existente")</f>
        <v>23</v>
      </c>
    </row>
    <row r="14" spans="1:8" x14ac:dyDescent="0.25">
      <c r="A14" s="5" t="s">
        <v>17</v>
      </c>
      <c r="B14" s="5">
        <f>COUNTIFS(Reliquias!$D$5:$D$159,A14,Reliquias!$H$5:$H$159,"&lt;&gt;Existente")</f>
        <v>28</v>
      </c>
    </row>
    <row r="15" spans="1:8" x14ac:dyDescent="0.25">
      <c r="A15" s="5" t="s">
        <v>18</v>
      </c>
      <c r="B15" s="5">
        <f>COUNTIFS(Reliquias!$D$5:$D$159,A15,Reliquias!$H$5:$H$159,"&lt;&gt;Existente")</f>
        <v>32</v>
      </c>
    </row>
    <row r="16" spans="1:8" x14ac:dyDescent="0.25">
      <c r="A16" s="5" t="s">
        <v>19</v>
      </c>
      <c r="B16" s="5">
        <f>COUNTIFS(Reliquias!$D$5:$D$159,A16,Reliquias!$H$5:$H$159,"&lt;&gt;Existente")</f>
        <v>19</v>
      </c>
    </row>
    <row r="17" spans="1:2" x14ac:dyDescent="0.25">
      <c r="A17" s="5" t="s">
        <v>20</v>
      </c>
      <c r="B17" s="5">
        <f>COUNTIFS(Reliquias!$D$5:$D$159,A17,Reliquias!$H$5:$H$159,"&lt;&gt;Existente")</f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9"/>
  <sheetViews>
    <sheetView tabSelected="1" zoomScaleNormal="100" workbookViewId="0">
      <pane xSplit="2" ySplit="4" topLeftCell="C140" activePane="bottomRight" state="frozen"/>
      <selection pane="topRight" activeCell="C1" sqref="C1"/>
      <selection pane="bottomLeft" activeCell="A5" sqref="A5"/>
      <selection pane="bottomRight" activeCell="I159" sqref="I159"/>
    </sheetView>
  </sheetViews>
  <sheetFormatPr baseColWidth="10" defaultColWidth="8.7109375" defaultRowHeight="15" x14ac:dyDescent="0.25"/>
  <cols>
    <col min="1" max="1" width="5" customWidth="1"/>
    <col min="2" max="2" width="26" customWidth="1"/>
    <col min="3" max="3" width="11" customWidth="1"/>
    <col min="4" max="4" width="12" customWidth="1"/>
    <col min="5" max="5" width="60" customWidth="1"/>
    <col min="6" max="6" width="14" customWidth="1"/>
    <col min="7" max="7" width="12" customWidth="1"/>
    <col min="8" max="8" width="16" customWidth="1"/>
    <col min="9" max="9" width="12" customWidth="1"/>
    <col min="10" max="10" width="40" customWidth="1"/>
  </cols>
  <sheetData>
    <row r="1" spans="1:10" ht="18" x14ac:dyDescent="0.25">
      <c r="A1" s="2" t="s">
        <v>21</v>
      </c>
    </row>
    <row r="2" spans="1:10" ht="42" customHeight="1" x14ac:dyDescent="0.25">
      <c r="A2" s="1" t="s">
        <v>22</v>
      </c>
      <c r="B2" s="1"/>
      <c r="C2" s="1"/>
      <c r="D2" s="1"/>
      <c r="E2" s="1"/>
      <c r="F2" s="1"/>
      <c r="G2" s="1"/>
      <c r="H2" s="1"/>
      <c r="I2" s="1"/>
      <c r="J2" s="1"/>
    </row>
    <row r="4" spans="1:10" ht="30" x14ac:dyDescent="0.25">
      <c r="A4" s="4" t="s">
        <v>23</v>
      </c>
      <c r="B4" s="4" t="s">
        <v>24</v>
      </c>
      <c r="C4" s="4" t="s">
        <v>2</v>
      </c>
      <c r="D4" s="4" t="s">
        <v>15</v>
      </c>
      <c r="E4" s="4" t="s">
        <v>25</v>
      </c>
      <c r="F4" s="4" t="s">
        <v>26</v>
      </c>
      <c r="G4" s="4" t="s">
        <v>27</v>
      </c>
      <c r="H4" s="4" t="s">
        <v>28</v>
      </c>
      <c r="I4" s="4" t="s">
        <v>29</v>
      </c>
      <c r="J4" s="4" t="s">
        <v>30</v>
      </c>
    </row>
    <row r="5" spans="1:10" x14ac:dyDescent="0.25">
      <c r="A5" s="10">
        <v>1</v>
      </c>
      <c r="B5" s="10" t="s">
        <v>31</v>
      </c>
      <c r="C5" s="10" t="s">
        <v>10</v>
      </c>
      <c r="D5" s="10" t="s">
        <v>16</v>
      </c>
      <c r="E5" s="10" t="s">
        <v>32</v>
      </c>
      <c r="F5" s="10" t="s">
        <v>33</v>
      </c>
      <c r="G5" s="10"/>
      <c r="H5" s="10" t="s">
        <v>34</v>
      </c>
      <c r="I5" s="11" t="s">
        <v>7</v>
      </c>
      <c r="J5" s="12"/>
    </row>
    <row r="6" spans="1:10" x14ac:dyDescent="0.25">
      <c r="A6" s="10">
        <v>2</v>
      </c>
      <c r="B6" s="10" t="s">
        <v>35</v>
      </c>
      <c r="C6" s="10" t="s">
        <v>10</v>
      </c>
      <c r="D6" s="10" t="s">
        <v>16</v>
      </c>
      <c r="E6" s="10" t="s">
        <v>36</v>
      </c>
      <c r="F6" s="10" t="s">
        <v>33</v>
      </c>
      <c r="G6" s="10"/>
      <c r="H6" s="10" t="s">
        <v>34</v>
      </c>
      <c r="I6" s="11" t="s">
        <v>7</v>
      </c>
      <c r="J6" s="12"/>
    </row>
    <row r="7" spans="1:10" x14ac:dyDescent="0.25">
      <c r="A7" s="10">
        <v>3</v>
      </c>
      <c r="B7" s="10" t="s">
        <v>37</v>
      </c>
      <c r="C7" s="10" t="s">
        <v>10</v>
      </c>
      <c r="D7" s="10" t="s">
        <v>16</v>
      </c>
      <c r="E7" s="10" t="s">
        <v>38</v>
      </c>
      <c r="F7" s="10" t="s">
        <v>33</v>
      </c>
      <c r="G7" s="10"/>
      <c r="H7" s="10" t="s">
        <v>34</v>
      </c>
      <c r="I7" s="11" t="s">
        <v>7</v>
      </c>
      <c r="J7" s="12"/>
    </row>
    <row r="8" spans="1:10" x14ac:dyDescent="0.25">
      <c r="A8" s="10">
        <v>4</v>
      </c>
      <c r="B8" s="10" t="s">
        <v>39</v>
      </c>
      <c r="C8" s="10" t="s">
        <v>10</v>
      </c>
      <c r="D8" s="10" t="s">
        <v>16</v>
      </c>
      <c r="E8" s="10" t="s">
        <v>40</v>
      </c>
      <c r="F8" s="10" t="s">
        <v>33</v>
      </c>
      <c r="G8" s="10"/>
      <c r="H8" s="10" t="s">
        <v>34</v>
      </c>
      <c r="I8" s="11" t="s">
        <v>7</v>
      </c>
      <c r="J8" s="12"/>
    </row>
    <row r="9" spans="1:10" x14ac:dyDescent="0.25">
      <c r="A9" s="10">
        <v>5</v>
      </c>
      <c r="B9" s="10" t="s">
        <v>41</v>
      </c>
      <c r="C9" s="10" t="s">
        <v>10</v>
      </c>
      <c r="D9" s="10" t="s">
        <v>16</v>
      </c>
      <c r="E9" s="10" t="s">
        <v>42</v>
      </c>
      <c r="F9" s="10" t="s">
        <v>33</v>
      </c>
      <c r="G9" s="10"/>
      <c r="H9" s="10" t="s">
        <v>34</v>
      </c>
      <c r="I9" s="11" t="s">
        <v>7</v>
      </c>
      <c r="J9" s="12"/>
    </row>
    <row r="10" spans="1:10" x14ac:dyDescent="0.25">
      <c r="A10" s="10">
        <v>6</v>
      </c>
      <c r="B10" s="10" t="s">
        <v>43</v>
      </c>
      <c r="C10" s="10" t="s">
        <v>10</v>
      </c>
      <c r="D10" s="10" t="s">
        <v>16</v>
      </c>
      <c r="E10" s="10" t="s">
        <v>44</v>
      </c>
      <c r="F10" s="10" t="s">
        <v>33</v>
      </c>
      <c r="G10" s="10"/>
      <c r="H10" s="10" t="s">
        <v>34</v>
      </c>
      <c r="I10" s="11" t="s">
        <v>7</v>
      </c>
      <c r="J10" s="12"/>
    </row>
    <row r="11" spans="1:10" x14ac:dyDescent="0.25">
      <c r="A11" s="10">
        <v>7</v>
      </c>
      <c r="B11" s="10" t="s">
        <v>45</v>
      </c>
      <c r="C11" s="10" t="s">
        <v>10</v>
      </c>
      <c r="D11" s="10" t="s">
        <v>17</v>
      </c>
      <c r="E11" s="10" t="s">
        <v>46</v>
      </c>
      <c r="F11" s="10" t="s">
        <v>33</v>
      </c>
      <c r="G11" s="10"/>
      <c r="H11" s="10" t="s">
        <v>34</v>
      </c>
      <c r="I11" s="11" t="s">
        <v>7</v>
      </c>
      <c r="J11" s="12"/>
    </row>
    <row r="12" spans="1:10" x14ac:dyDescent="0.25">
      <c r="A12" s="10">
        <v>8</v>
      </c>
      <c r="B12" s="10" t="s">
        <v>47</v>
      </c>
      <c r="C12" s="10" t="s">
        <v>10</v>
      </c>
      <c r="D12" s="10" t="s">
        <v>17</v>
      </c>
      <c r="E12" s="10" t="s">
        <v>48</v>
      </c>
      <c r="F12" s="10" t="s">
        <v>33</v>
      </c>
      <c r="G12" s="10"/>
      <c r="H12" s="10" t="s">
        <v>34</v>
      </c>
      <c r="I12" s="11" t="s">
        <v>7</v>
      </c>
      <c r="J12" s="12"/>
    </row>
    <row r="13" spans="1:10" ht="25.5" x14ac:dyDescent="0.25">
      <c r="A13" s="10">
        <v>9</v>
      </c>
      <c r="B13" s="10" t="s">
        <v>49</v>
      </c>
      <c r="C13" s="10" t="s">
        <v>10</v>
      </c>
      <c r="D13" s="10" t="s">
        <v>17</v>
      </c>
      <c r="E13" s="10" t="s">
        <v>50</v>
      </c>
      <c r="F13" s="10" t="s">
        <v>33</v>
      </c>
      <c r="G13" s="13" t="s">
        <v>51</v>
      </c>
      <c r="H13" s="10" t="s">
        <v>34</v>
      </c>
      <c r="I13" s="11" t="s">
        <v>7</v>
      </c>
      <c r="J13" s="12"/>
    </row>
    <row r="14" spans="1:10" x14ac:dyDescent="0.25">
      <c r="A14" s="10">
        <v>10</v>
      </c>
      <c r="B14" s="10" t="s">
        <v>52</v>
      </c>
      <c r="C14" s="10" t="s">
        <v>10</v>
      </c>
      <c r="D14" s="10" t="s">
        <v>17</v>
      </c>
      <c r="E14" s="10" t="s">
        <v>53</v>
      </c>
      <c r="F14" s="10" t="s">
        <v>33</v>
      </c>
      <c r="G14" s="10"/>
      <c r="H14" s="10" t="s">
        <v>34</v>
      </c>
      <c r="I14" s="11" t="s">
        <v>7</v>
      </c>
      <c r="J14" s="12"/>
    </row>
    <row r="15" spans="1:10" x14ac:dyDescent="0.25">
      <c r="A15" s="10">
        <v>11</v>
      </c>
      <c r="B15" s="10" t="s">
        <v>54</v>
      </c>
      <c r="C15" s="10" t="s">
        <v>10</v>
      </c>
      <c r="D15" s="10" t="s">
        <v>18</v>
      </c>
      <c r="E15" s="10" t="s">
        <v>55</v>
      </c>
      <c r="F15" s="10" t="s">
        <v>33</v>
      </c>
      <c r="G15" s="13" t="s">
        <v>56</v>
      </c>
      <c r="H15" s="10" t="s">
        <v>34</v>
      </c>
      <c r="I15" s="11" t="s">
        <v>7</v>
      </c>
      <c r="J15" s="12"/>
    </row>
    <row r="16" spans="1:10" x14ac:dyDescent="0.25">
      <c r="A16" s="10">
        <v>12</v>
      </c>
      <c r="B16" s="10" t="s">
        <v>57</v>
      </c>
      <c r="C16" s="10" t="s">
        <v>10</v>
      </c>
      <c r="D16" s="10" t="s">
        <v>18</v>
      </c>
      <c r="E16" s="10" t="s">
        <v>55</v>
      </c>
      <c r="F16" s="10" t="s">
        <v>33</v>
      </c>
      <c r="G16" s="13" t="s">
        <v>56</v>
      </c>
      <c r="H16" s="10" t="s">
        <v>34</v>
      </c>
      <c r="I16" s="11" t="s">
        <v>7</v>
      </c>
      <c r="J16" s="12"/>
    </row>
    <row r="17" spans="1:10" x14ac:dyDescent="0.25">
      <c r="A17" s="10">
        <v>13</v>
      </c>
      <c r="B17" s="10" t="s">
        <v>58</v>
      </c>
      <c r="C17" s="10" t="s">
        <v>10</v>
      </c>
      <c r="D17" s="10" t="s">
        <v>18</v>
      </c>
      <c r="E17" s="10" t="s">
        <v>59</v>
      </c>
      <c r="F17" s="10" t="s">
        <v>33</v>
      </c>
      <c r="G17" s="13" t="s">
        <v>51</v>
      </c>
      <c r="H17" s="10" t="s">
        <v>34</v>
      </c>
      <c r="I17" s="11" t="s">
        <v>7</v>
      </c>
      <c r="J17" s="12"/>
    </row>
    <row r="18" spans="1:10" x14ac:dyDescent="0.25">
      <c r="A18" s="10">
        <v>14</v>
      </c>
      <c r="B18" s="10" t="s">
        <v>60</v>
      </c>
      <c r="C18" s="10" t="s">
        <v>10</v>
      </c>
      <c r="D18" s="10" t="s">
        <v>18</v>
      </c>
      <c r="E18" s="10" t="s">
        <v>61</v>
      </c>
      <c r="F18" s="10" t="s">
        <v>33</v>
      </c>
      <c r="G18" s="13" t="s">
        <v>56</v>
      </c>
      <c r="H18" s="10" t="s">
        <v>34</v>
      </c>
      <c r="I18" s="11" t="s">
        <v>7</v>
      </c>
      <c r="J18" s="12"/>
    </row>
    <row r="19" spans="1:10" x14ac:dyDescent="0.25">
      <c r="A19" s="10">
        <v>15</v>
      </c>
      <c r="B19" s="10" t="s">
        <v>62</v>
      </c>
      <c r="C19" s="10" t="s">
        <v>10</v>
      </c>
      <c r="D19" s="10" t="s">
        <v>19</v>
      </c>
      <c r="E19" s="10" t="s">
        <v>63</v>
      </c>
      <c r="F19" s="10" t="s">
        <v>33</v>
      </c>
      <c r="G19" s="13" t="s">
        <v>51</v>
      </c>
      <c r="H19" s="10" t="s">
        <v>34</v>
      </c>
      <c r="I19" s="11" t="s">
        <v>7</v>
      </c>
      <c r="J19" s="12"/>
    </row>
    <row r="20" spans="1:10" x14ac:dyDescent="0.25">
      <c r="A20" s="10">
        <v>16</v>
      </c>
      <c r="B20" s="10" t="s">
        <v>64</v>
      </c>
      <c r="C20" s="10" t="s">
        <v>10</v>
      </c>
      <c r="D20" s="10" t="s">
        <v>19</v>
      </c>
      <c r="E20" s="10" t="s">
        <v>65</v>
      </c>
      <c r="F20" s="10" t="s">
        <v>33</v>
      </c>
      <c r="G20" s="10"/>
      <c r="H20" s="10" t="s">
        <v>34</v>
      </c>
      <c r="I20" s="11" t="s">
        <v>7</v>
      </c>
      <c r="J20" s="12"/>
    </row>
    <row r="21" spans="1:10" x14ac:dyDescent="0.25">
      <c r="A21" s="10">
        <v>17</v>
      </c>
      <c r="B21" s="10" t="s">
        <v>66</v>
      </c>
      <c r="C21" s="10" t="s">
        <v>10</v>
      </c>
      <c r="D21" s="10" t="s">
        <v>19</v>
      </c>
      <c r="E21" s="10" t="s">
        <v>67</v>
      </c>
      <c r="F21" s="10" t="s">
        <v>33</v>
      </c>
      <c r="G21" s="10"/>
      <c r="H21" s="10" t="s">
        <v>34</v>
      </c>
      <c r="I21" s="11" t="s">
        <v>7</v>
      </c>
      <c r="J21" s="12"/>
    </row>
    <row r="22" spans="1:10" x14ac:dyDescent="0.25">
      <c r="A22" s="10">
        <v>18</v>
      </c>
      <c r="B22" s="10" t="s">
        <v>68</v>
      </c>
      <c r="C22" s="10" t="s">
        <v>10</v>
      </c>
      <c r="D22" s="10" t="s">
        <v>19</v>
      </c>
      <c r="E22" s="10" t="s">
        <v>69</v>
      </c>
      <c r="F22" s="10" t="s">
        <v>33</v>
      </c>
      <c r="G22" s="10"/>
      <c r="H22" s="10" t="s">
        <v>34</v>
      </c>
      <c r="I22" s="11" t="s">
        <v>7</v>
      </c>
      <c r="J22" s="12"/>
    </row>
    <row r="23" spans="1:10" x14ac:dyDescent="0.25">
      <c r="A23" s="10">
        <v>19</v>
      </c>
      <c r="B23" s="10" t="s">
        <v>70</v>
      </c>
      <c r="C23" s="10" t="s">
        <v>10</v>
      </c>
      <c r="D23" s="10" t="s">
        <v>20</v>
      </c>
      <c r="E23" s="10" t="s">
        <v>71</v>
      </c>
      <c r="F23" s="10" t="s">
        <v>33</v>
      </c>
      <c r="G23" s="10"/>
      <c r="H23" s="10" t="s">
        <v>34</v>
      </c>
      <c r="I23" s="11" t="s">
        <v>7</v>
      </c>
      <c r="J23" s="12"/>
    </row>
    <row r="24" spans="1:10" ht="25.5" x14ac:dyDescent="0.25">
      <c r="A24" s="10">
        <v>20</v>
      </c>
      <c r="B24" s="10" t="s">
        <v>72</v>
      </c>
      <c r="C24" s="10" t="s">
        <v>10</v>
      </c>
      <c r="D24" s="10" t="s">
        <v>20</v>
      </c>
      <c r="E24" s="10" t="s">
        <v>73</v>
      </c>
      <c r="F24" s="10" t="s">
        <v>33</v>
      </c>
      <c r="G24" s="10"/>
      <c r="H24" s="10" t="s">
        <v>34</v>
      </c>
      <c r="I24" s="11" t="s">
        <v>7</v>
      </c>
      <c r="J24" s="12"/>
    </row>
    <row r="25" spans="1:10" x14ac:dyDescent="0.25">
      <c r="A25" s="10">
        <v>21</v>
      </c>
      <c r="B25" s="10" t="s">
        <v>74</v>
      </c>
      <c r="C25" s="10" t="s">
        <v>10</v>
      </c>
      <c r="D25" s="10" t="s">
        <v>20</v>
      </c>
      <c r="E25" s="10" t="s">
        <v>75</v>
      </c>
      <c r="F25" s="10" t="s">
        <v>33</v>
      </c>
      <c r="G25" s="10"/>
      <c r="H25" s="10" t="s">
        <v>34</v>
      </c>
      <c r="I25" s="11" t="s">
        <v>7</v>
      </c>
      <c r="J25" s="12"/>
    </row>
    <row r="26" spans="1:10" x14ac:dyDescent="0.25">
      <c r="A26" s="10">
        <v>22</v>
      </c>
      <c r="B26" s="10" t="s">
        <v>76</v>
      </c>
      <c r="C26" s="10" t="s">
        <v>10</v>
      </c>
      <c r="D26" s="10" t="s">
        <v>20</v>
      </c>
      <c r="E26" s="10" t="s">
        <v>77</v>
      </c>
      <c r="F26" s="10" t="s">
        <v>33</v>
      </c>
      <c r="G26" s="13" t="s">
        <v>51</v>
      </c>
      <c r="H26" s="10" t="s">
        <v>34</v>
      </c>
      <c r="I26" s="11" t="s">
        <v>7</v>
      </c>
      <c r="J26" s="12"/>
    </row>
    <row r="27" spans="1:10" x14ac:dyDescent="0.25">
      <c r="A27" s="10">
        <v>23</v>
      </c>
      <c r="B27" s="10" t="s">
        <v>78</v>
      </c>
      <c r="C27" s="10" t="s">
        <v>10</v>
      </c>
      <c r="D27" s="10" t="s">
        <v>20</v>
      </c>
      <c r="E27" s="10" t="s">
        <v>79</v>
      </c>
      <c r="F27" s="10" t="s">
        <v>33</v>
      </c>
      <c r="G27" s="10"/>
      <c r="H27" s="10" t="s">
        <v>34</v>
      </c>
      <c r="I27" s="11" t="s">
        <v>7</v>
      </c>
      <c r="J27" s="12"/>
    </row>
    <row r="28" spans="1:10" ht="25.5" x14ac:dyDescent="0.25">
      <c r="A28" s="10">
        <v>24</v>
      </c>
      <c r="B28" s="10" t="s">
        <v>80</v>
      </c>
      <c r="C28" s="10" t="s">
        <v>10</v>
      </c>
      <c r="D28" s="10" t="s">
        <v>20</v>
      </c>
      <c r="E28" s="10" t="s">
        <v>81</v>
      </c>
      <c r="F28" s="10" t="s">
        <v>33</v>
      </c>
      <c r="G28" s="13" t="s">
        <v>82</v>
      </c>
      <c r="H28" s="10" t="s">
        <v>34</v>
      </c>
      <c r="I28" s="11" t="s">
        <v>7</v>
      </c>
      <c r="J28" s="12"/>
    </row>
    <row r="29" spans="1:10" ht="25.5" x14ac:dyDescent="0.25">
      <c r="A29" s="10">
        <v>25</v>
      </c>
      <c r="B29" s="10" t="s">
        <v>83</v>
      </c>
      <c r="C29" s="10" t="s">
        <v>10</v>
      </c>
      <c r="D29" s="10" t="s">
        <v>20</v>
      </c>
      <c r="E29" s="10" t="s">
        <v>84</v>
      </c>
      <c r="F29" s="10" t="s">
        <v>33</v>
      </c>
      <c r="G29" s="13" t="s">
        <v>51</v>
      </c>
      <c r="H29" s="10" t="s">
        <v>34</v>
      </c>
      <c r="I29" s="11" t="s">
        <v>7</v>
      </c>
      <c r="J29" s="12"/>
    </row>
    <row r="30" spans="1:10" x14ac:dyDescent="0.25">
      <c r="A30" s="10">
        <v>26</v>
      </c>
      <c r="B30" s="10" t="s">
        <v>85</v>
      </c>
      <c r="C30" s="10" t="s">
        <v>11</v>
      </c>
      <c r="D30" s="10" t="s">
        <v>17</v>
      </c>
      <c r="E30" s="10" t="s">
        <v>86</v>
      </c>
      <c r="F30" s="10" t="s">
        <v>33</v>
      </c>
      <c r="G30" s="10"/>
      <c r="H30" s="10" t="s">
        <v>34</v>
      </c>
      <c r="I30" s="11" t="s">
        <v>7</v>
      </c>
      <c r="J30" s="12"/>
    </row>
    <row r="31" spans="1:10" x14ac:dyDescent="0.25">
      <c r="A31" s="10">
        <v>27</v>
      </c>
      <c r="B31" s="10" t="s">
        <v>87</v>
      </c>
      <c r="C31" s="10" t="s">
        <v>11</v>
      </c>
      <c r="D31" s="10" t="s">
        <v>17</v>
      </c>
      <c r="E31" s="10" t="s">
        <v>88</v>
      </c>
      <c r="F31" s="10" t="s">
        <v>33</v>
      </c>
      <c r="G31" s="13" t="s">
        <v>56</v>
      </c>
      <c r="H31" s="10" t="s">
        <v>34</v>
      </c>
      <c r="I31" s="11" t="s">
        <v>7</v>
      </c>
      <c r="J31" s="12"/>
    </row>
    <row r="32" spans="1:10" x14ac:dyDescent="0.25">
      <c r="A32" s="10">
        <v>28</v>
      </c>
      <c r="B32" s="10" t="s">
        <v>89</v>
      </c>
      <c r="C32" s="10" t="s">
        <v>11</v>
      </c>
      <c r="D32" s="10" t="s">
        <v>18</v>
      </c>
      <c r="E32" s="10" t="s">
        <v>90</v>
      </c>
      <c r="F32" s="10" t="s">
        <v>33</v>
      </c>
      <c r="G32" s="10"/>
      <c r="H32" s="10" t="s">
        <v>34</v>
      </c>
      <c r="I32" s="11" t="s">
        <v>7</v>
      </c>
      <c r="J32" s="12"/>
    </row>
    <row r="33" spans="1:10" x14ac:dyDescent="0.25">
      <c r="A33" s="10">
        <v>29</v>
      </c>
      <c r="B33" s="10" t="s">
        <v>91</v>
      </c>
      <c r="C33" s="10" t="s">
        <v>11</v>
      </c>
      <c r="D33" s="10" t="s">
        <v>19</v>
      </c>
      <c r="E33" s="10" t="s">
        <v>92</v>
      </c>
      <c r="F33" s="10" t="s">
        <v>33</v>
      </c>
      <c r="G33" s="10"/>
      <c r="H33" s="10" t="s">
        <v>34</v>
      </c>
      <c r="I33" s="11" t="s">
        <v>7</v>
      </c>
      <c r="J33" s="12"/>
    </row>
    <row r="34" spans="1:10" x14ac:dyDescent="0.25">
      <c r="A34" s="10">
        <v>30</v>
      </c>
      <c r="B34" s="10" t="s">
        <v>93</v>
      </c>
      <c r="C34" s="10" t="s">
        <v>11</v>
      </c>
      <c r="D34" s="10" t="s">
        <v>20</v>
      </c>
      <c r="E34" s="10" t="s">
        <v>94</v>
      </c>
      <c r="F34" s="10" t="s">
        <v>33</v>
      </c>
      <c r="G34" s="10"/>
      <c r="H34" s="10" t="s">
        <v>34</v>
      </c>
      <c r="I34" s="11" t="s">
        <v>7</v>
      </c>
      <c r="J34" s="12"/>
    </row>
    <row r="35" spans="1:10" x14ac:dyDescent="0.25">
      <c r="A35" s="10">
        <v>31</v>
      </c>
      <c r="B35" s="10" t="s">
        <v>95</v>
      </c>
      <c r="C35" s="10" t="s">
        <v>13</v>
      </c>
      <c r="D35" s="10" t="s">
        <v>16</v>
      </c>
      <c r="E35" s="10" t="s">
        <v>96</v>
      </c>
      <c r="F35" s="10" t="s">
        <v>33</v>
      </c>
      <c r="G35" s="10"/>
      <c r="H35" s="10" t="s">
        <v>34</v>
      </c>
      <c r="I35" s="11" t="s">
        <v>7</v>
      </c>
      <c r="J35" s="12"/>
    </row>
    <row r="36" spans="1:10" x14ac:dyDescent="0.25">
      <c r="A36" s="10">
        <v>32</v>
      </c>
      <c r="B36" s="10" t="s">
        <v>97</v>
      </c>
      <c r="C36" s="10" t="s">
        <v>13</v>
      </c>
      <c r="D36" s="10" t="s">
        <v>16</v>
      </c>
      <c r="E36" s="10" t="s">
        <v>98</v>
      </c>
      <c r="F36" s="10" t="s">
        <v>33</v>
      </c>
      <c r="G36" s="10"/>
      <c r="H36" s="10" t="s">
        <v>34</v>
      </c>
      <c r="I36" s="11" t="s">
        <v>7</v>
      </c>
      <c r="J36" s="12"/>
    </row>
    <row r="37" spans="1:10" x14ac:dyDescent="0.25">
      <c r="A37" s="10">
        <v>33</v>
      </c>
      <c r="B37" s="10" t="s">
        <v>99</v>
      </c>
      <c r="C37" s="10" t="s">
        <v>13</v>
      </c>
      <c r="D37" s="10" t="s">
        <v>17</v>
      </c>
      <c r="E37" s="10" t="s">
        <v>100</v>
      </c>
      <c r="F37" s="10" t="s">
        <v>33</v>
      </c>
      <c r="G37" s="10"/>
      <c r="H37" s="10" t="s">
        <v>34</v>
      </c>
      <c r="I37" s="11" t="s">
        <v>7</v>
      </c>
      <c r="J37" s="12"/>
    </row>
    <row r="38" spans="1:10" ht="25.5" x14ac:dyDescent="0.25">
      <c r="A38" s="10">
        <v>34</v>
      </c>
      <c r="B38" s="10" t="s">
        <v>101</v>
      </c>
      <c r="C38" s="10" t="s">
        <v>13</v>
      </c>
      <c r="D38" s="10" t="s">
        <v>17</v>
      </c>
      <c r="E38" s="10" t="s">
        <v>102</v>
      </c>
      <c r="F38" s="10" t="s">
        <v>33</v>
      </c>
      <c r="G38" s="10"/>
      <c r="H38" s="10" t="s">
        <v>34</v>
      </c>
      <c r="I38" s="11" t="s">
        <v>7</v>
      </c>
      <c r="J38" s="12"/>
    </row>
    <row r="39" spans="1:10" ht="25.5" x14ac:dyDescent="0.25">
      <c r="A39" s="10">
        <v>35</v>
      </c>
      <c r="B39" s="10" t="s">
        <v>103</v>
      </c>
      <c r="C39" s="10" t="s">
        <v>13</v>
      </c>
      <c r="D39" s="10" t="s">
        <v>17</v>
      </c>
      <c r="E39" s="10" t="s">
        <v>104</v>
      </c>
      <c r="F39" s="10" t="s">
        <v>33</v>
      </c>
      <c r="G39" s="10"/>
      <c r="H39" s="10" t="s">
        <v>34</v>
      </c>
      <c r="I39" s="11" t="s">
        <v>7</v>
      </c>
      <c r="J39" s="12"/>
    </row>
    <row r="40" spans="1:10" x14ac:dyDescent="0.25">
      <c r="A40" s="10">
        <v>36</v>
      </c>
      <c r="B40" s="10" t="s">
        <v>105</v>
      </c>
      <c r="C40" s="10" t="s">
        <v>13</v>
      </c>
      <c r="D40" s="10" t="s">
        <v>17</v>
      </c>
      <c r="E40" s="10" t="s">
        <v>106</v>
      </c>
      <c r="F40" s="10" t="s">
        <v>33</v>
      </c>
      <c r="G40" s="13" t="s">
        <v>56</v>
      </c>
      <c r="H40" s="10" t="s">
        <v>34</v>
      </c>
      <c r="I40" s="11" t="s">
        <v>7</v>
      </c>
      <c r="J40" s="12"/>
    </row>
    <row r="41" spans="1:10" x14ac:dyDescent="0.25">
      <c r="A41" s="10">
        <v>37</v>
      </c>
      <c r="B41" s="10" t="s">
        <v>107</v>
      </c>
      <c r="C41" s="10" t="s">
        <v>13</v>
      </c>
      <c r="D41" s="10" t="s">
        <v>17</v>
      </c>
      <c r="E41" s="10" t="s">
        <v>108</v>
      </c>
      <c r="F41" s="10" t="s">
        <v>33</v>
      </c>
      <c r="G41" s="10"/>
      <c r="H41" s="10" t="s">
        <v>34</v>
      </c>
      <c r="I41" s="11" t="s">
        <v>7</v>
      </c>
      <c r="J41" s="12"/>
    </row>
    <row r="42" spans="1:10" x14ac:dyDescent="0.25">
      <c r="A42" s="10">
        <v>38</v>
      </c>
      <c r="B42" s="10" t="s">
        <v>109</v>
      </c>
      <c r="C42" s="10" t="s">
        <v>13</v>
      </c>
      <c r="D42" s="10" t="s">
        <v>17</v>
      </c>
      <c r="E42" s="10" t="s">
        <v>110</v>
      </c>
      <c r="F42" s="10" t="s">
        <v>33</v>
      </c>
      <c r="G42" s="10"/>
      <c r="H42" s="10" t="s">
        <v>34</v>
      </c>
      <c r="I42" s="11" t="s">
        <v>7</v>
      </c>
      <c r="J42" s="12"/>
    </row>
    <row r="43" spans="1:10" ht="25.5" x14ac:dyDescent="0.25">
      <c r="A43" s="10">
        <v>39</v>
      </c>
      <c r="B43" s="10" t="s">
        <v>111</v>
      </c>
      <c r="C43" s="10" t="s">
        <v>13</v>
      </c>
      <c r="D43" s="10" t="s">
        <v>18</v>
      </c>
      <c r="E43" s="10" t="s">
        <v>112</v>
      </c>
      <c r="F43" s="10" t="s">
        <v>33</v>
      </c>
      <c r="G43" s="10"/>
      <c r="H43" s="10" t="s">
        <v>34</v>
      </c>
      <c r="I43" s="11" t="s">
        <v>7</v>
      </c>
      <c r="J43" s="12"/>
    </row>
    <row r="44" spans="1:10" ht="25.5" x14ac:dyDescent="0.25">
      <c r="A44" s="10">
        <v>40</v>
      </c>
      <c r="B44" s="10" t="s">
        <v>113</v>
      </c>
      <c r="C44" s="10" t="s">
        <v>13</v>
      </c>
      <c r="D44" s="10" t="s">
        <v>18</v>
      </c>
      <c r="E44" s="10" t="s">
        <v>114</v>
      </c>
      <c r="F44" s="10" t="s">
        <v>33</v>
      </c>
      <c r="G44" s="13" t="s">
        <v>56</v>
      </c>
      <c r="H44" s="10" t="s">
        <v>34</v>
      </c>
      <c r="I44" s="11" t="s">
        <v>7</v>
      </c>
      <c r="J44" s="12"/>
    </row>
    <row r="45" spans="1:10" ht="25.5" x14ac:dyDescent="0.25">
      <c r="A45" s="10">
        <v>41</v>
      </c>
      <c r="B45" s="10" t="s">
        <v>115</v>
      </c>
      <c r="C45" s="10" t="s">
        <v>13</v>
      </c>
      <c r="D45" s="10" t="s">
        <v>18</v>
      </c>
      <c r="E45" s="10" t="s">
        <v>116</v>
      </c>
      <c r="F45" s="10" t="s">
        <v>33</v>
      </c>
      <c r="G45" s="10"/>
      <c r="H45" s="10" t="s">
        <v>34</v>
      </c>
      <c r="I45" s="11" t="s">
        <v>7</v>
      </c>
      <c r="J45" s="12"/>
    </row>
    <row r="46" spans="1:10" x14ac:dyDescent="0.25">
      <c r="A46" s="10">
        <v>42</v>
      </c>
      <c r="B46" s="10" t="s">
        <v>117</v>
      </c>
      <c r="C46" s="10" t="s">
        <v>13</v>
      </c>
      <c r="D46" s="10" t="s">
        <v>20</v>
      </c>
      <c r="E46" s="10" t="s">
        <v>118</v>
      </c>
      <c r="F46" s="10" t="s">
        <v>33</v>
      </c>
      <c r="G46" s="10"/>
      <c r="H46" s="10" t="s">
        <v>34</v>
      </c>
      <c r="I46" s="11" t="s">
        <v>7</v>
      </c>
      <c r="J46" s="12"/>
    </row>
    <row r="47" spans="1:10" ht="38.25" x14ac:dyDescent="0.25">
      <c r="A47" s="10">
        <v>43</v>
      </c>
      <c r="B47" s="10" t="s">
        <v>119</v>
      </c>
      <c r="C47" s="10" t="s">
        <v>10</v>
      </c>
      <c r="D47" s="10" t="s">
        <v>19</v>
      </c>
      <c r="E47" s="10" t="s">
        <v>120</v>
      </c>
      <c r="F47" s="10" t="s">
        <v>121</v>
      </c>
      <c r="G47" s="10"/>
      <c r="H47" s="14" t="s">
        <v>122</v>
      </c>
      <c r="I47" s="11" t="s">
        <v>7</v>
      </c>
      <c r="J47" s="12"/>
    </row>
    <row r="48" spans="1:10" ht="25.5" x14ac:dyDescent="0.25">
      <c r="A48" s="10">
        <v>44</v>
      </c>
      <c r="B48" s="10" t="s">
        <v>123</v>
      </c>
      <c r="C48" s="10" t="s">
        <v>10</v>
      </c>
      <c r="D48" s="10" t="s">
        <v>20</v>
      </c>
      <c r="E48" s="10" t="s">
        <v>124</v>
      </c>
      <c r="F48" s="10" t="s">
        <v>125</v>
      </c>
      <c r="G48" s="10"/>
      <c r="H48" s="14" t="s">
        <v>122</v>
      </c>
      <c r="I48" s="11" t="s">
        <v>7</v>
      </c>
      <c r="J48" s="12"/>
    </row>
    <row r="49" spans="1:10" ht="25.5" x14ac:dyDescent="0.25">
      <c r="A49" s="10">
        <v>45</v>
      </c>
      <c r="B49" s="10" t="s">
        <v>126</v>
      </c>
      <c r="C49" s="10" t="s">
        <v>10</v>
      </c>
      <c r="D49" s="10" t="s">
        <v>20</v>
      </c>
      <c r="E49" s="10" t="s">
        <v>127</v>
      </c>
      <c r="F49" s="10" t="s">
        <v>125</v>
      </c>
      <c r="G49" s="10"/>
      <c r="H49" s="14" t="s">
        <v>122</v>
      </c>
      <c r="I49" s="11" t="s">
        <v>7</v>
      </c>
      <c r="J49" s="12" t="s">
        <v>370</v>
      </c>
    </row>
    <row r="50" spans="1:10" ht="25.5" x14ac:dyDescent="0.25">
      <c r="A50" s="10">
        <v>46</v>
      </c>
      <c r="B50" s="10" t="s">
        <v>128</v>
      </c>
      <c r="C50" s="10" t="s">
        <v>10</v>
      </c>
      <c r="D50" s="10" t="s">
        <v>20</v>
      </c>
      <c r="E50" s="10" t="s">
        <v>129</v>
      </c>
      <c r="F50" s="10" t="s">
        <v>121</v>
      </c>
      <c r="G50" s="13" t="s">
        <v>51</v>
      </c>
      <c r="H50" s="14" t="s">
        <v>122</v>
      </c>
      <c r="I50" s="11" t="s">
        <v>7</v>
      </c>
      <c r="J50" s="12"/>
    </row>
    <row r="51" spans="1:10" x14ac:dyDescent="0.25">
      <c r="A51" s="10">
        <v>47</v>
      </c>
      <c r="B51" s="10" t="s">
        <v>130</v>
      </c>
      <c r="C51" s="10" t="s">
        <v>10</v>
      </c>
      <c r="D51" s="10" t="s">
        <v>20</v>
      </c>
      <c r="E51" s="10" t="s">
        <v>131</v>
      </c>
      <c r="F51" s="10" t="s">
        <v>125</v>
      </c>
      <c r="G51" s="13" t="s">
        <v>82</v>
      </c>
      <c r="H51" s="14" t="s">
        <v>122</v>
      </c>
      <c r="I51" s="11" t="s">
        <v>7</v>
      </c>
      <c r="J51" s="12"/>
    </row>
    <row r="52" spans="1:10" x14ac:dyDescent="0.25">
      <c r="A52" s="10">
        <v>48</v>
      </c>
      <c r="B52" s="10" t="s">
        <v>132</v>
      </c>
      <c r="C52" s="10" t="s">
        <v>10</v>
      </c>
      <c r="D52" s="10" t="s">
        <v>16</v>
      </c>
      <c r="E52" s="10" t="s">
        <v>133</v>
      </c>
      <c r="F52" s="10" t="s">
        <v>121</v>
      </c>
      <c r="G52" s="10"/>
      <c r="H52" s="10" t="s">
        <v>134</v>
      </c>
      <c r="I52" s="11" t="s">
        <v>7</v>
      </c>
      <c r="J52" s="12"/>
    </row>
    <row r="53" spans="1:10" x14ac:dyDescent="0.25">
      <c r="A53" s="10">
        <v>49</v>
      </c>
      <c r="B53" s="10" t="s">
        <v>135</v>
      </c>
      <c r="C53" s="10" t="s">
        <v>10</v>
      </c>
      <c r="D53" s="10" t="s">
        <v>16</v>
      </c>
      <c r="E53" s="10" t="s">
        <v>136</v>
      </c>
      <c r="F53" s="10" t="s">
        <v>137</v>
      </c>
      <c r="G53" s="10"/>
      <c r="H53" s="10" t="s">
        <v>134</v>
      </c>
      <c r="I53" s="11" t="s">
        <v>7</v>
      </c>
      <c r="J53" s="12"/>
    </row>
    <row r="54" spans="1:10" ht="25.5" x14ac:dyDescent="0.25">
      <c r="A54" s="10">
        <v>50</v>
      </c>
      <c r="B54" s="10" t="s">
        <v>138</v>
      </c>
      <c r="C54" s="10" t="s">
        <v>10</v>
      </c>
      <c r="D54" s="10" t="s">
        <v>16</v>
      </c>
      <c r="E54" s="10" t="s">
        <v>139</v>
      </c>
      <c r="F54" s="10" t="s">
        <v>121</v>
      </c>
      <c r="G54" s="10"/>
      <c r="H54" s="10" t="s">
        <v>134</v>
      </c>
      <c r="I54" s="11" t="s">
        <v>7</v>
      </c>
      <c r="J54" s="12"/>
    </row>
    <row r="55" spans="1:10" x14ac:dyDescent="0.25">
      <c r="A55" s="10">
        <v>51</v>
      </c>
      <c r="B55" s="10" t="s">
        <v>140</v>
      </c>
      <c r="C55" s="10" t="s">
        <v>10</v>
      </c>
      <c r="D55" s="10" t="s">
        <v>16</v>
      </c>
      <c r="E55" s="10" t="s">
        <v>141</v>
      </c>
      <c r="F55" s="10" t="s">
        <v>137</v>
      </c>
      <c r="G55" s="10"/>
      <c r="H55" s="10" t="s">
        <v>134</v>
      </c>
      <c r="I55" s="11" t="s">
        <v>7</v>
      </c>
      <c r="J55" s="12"/>
    </row>
    <row r="56" spans="1:10" x14ac:dyDescent="0.25">
      <c r="A56" s="10">
        <v>52</v>
      </c>
      <c r="B56" s="10" t="s">
        <v>142</v>
      </c>
      <c r="C56" s="10" t="s">
        <v>10</v>
      </c>
      <c r="D56" s="10" t="s">
        <v>16</v>
      </c>
      <c r="E56" s="10" t="s">
        <v>143</v>
      </c>
      <c r="F56" s="10" t="s">
        <v>137</v>
      </c>
      <c r="G56" s="10"/>
      <c r="H56" s="10" t="s">
        <v>134</v>
      </c>
      <c r="I56" s="11" t="s">
        <v>7</v>
      </c>
      <c r="J56" s="12"/>
    </row>
    <row r="57" spans="1:10" x14ac:dyDescent="0.25">
      <c r="A57" s="10">
        <v>53</v>
      </c>
      <c r="B57" s="10" t="s">
        <v>144</v>
      </c>
      <c r="C57" s="10" t="s">
        <v>10</v>
      </c>
      <c r="D57" s="10" t="s">
        <v>16</v>
      </c>
      <c r="E57" s="10" t="s">
        <v>145</v>
      </c>
      <c r="F57" s="10" t="s">
        <v>137</v>
      </c>
      <c r="G57" s="10"/>
      <c r="H57" s="10" t="s">
        <v>134</v>
      </c>
      <c r="I57" s="11" t="s">
        <v>7</v>
      </c>
      <c r="J57" s="12"/>
    </row>
    <row r="58" spans="1:10" x14ac:dyDescent="0.25">
      <c r="A58" s="10">
        <v>54</v>
      </c>
      <c r="B58" s="10" t="s">
        <v>146</v>
      </c>
      <c r="C58" s="10" t="s">
        <v>10</v>
      </c>
      <c r="D58" s="10" t="s">
        <v>16</v>
      </c>
      <c r="E58" s="10" t="s">
        <v>147</v>
      </c>
      <c r="F58" s="10" t="s">
        <v>137</v>
      </c>
      <c r="G58" s="10"/>
      <c r="H58" s="10" t="s">
        <v>134</v>
      </c>
      <c r="I58" s="11" t="s">
        <v>7</v>
      </c>
      <c r="J58" s="12"/>
    </row>
    <row r="59" spans="1:10" ht="25.5" x14ac:dyDescent="0.25">
      <c r="A59" s="10">
        <v>55</v>
      </c>
      <c r="B59" s="10" t="s">
        <v>148</v>
      </c>
      <c r="C59" s="10" t="s">
        <v>10</v>
      </c>
      <c r="D59" s="10" t="s">
        <v>16</v>
      </c>
      <c r="E59" s="10" t="s">
        <v>149</v>
      </c>
      <c r="F59" s="10" t="s">
        <v>137</v>
      </c>
      <c r="G59" s="10"/>
      <c r="H59" s="10" t="s">
        <v>134</v>
      </c>
      <c r="I59" s="11" t="s">
        <v>7</v>
      </c>
      <c r="J59" s="12" t="s">
        <v>371</v>
      </c>
    </row>
    <row r="60" spans="1:10" x14ac:dyDescent="0.25">
      <c r="A60" s="10">
        <v>56</v>
      </c>
      <c r="B60" s="10" t="s">
        <v>150</v>
      </c>
      <c r="C60" s="10" t="s">
        <v>10</v>
      </c>
      <c r="D60" s="10" t="s">
        <v>16</v>
      </c>
      <c r="E60" s="10" t="s">
        <v>151</v>
      </c>
      <c r="F60" s="10" t="s">
        <v>152</v>
      </c>
      <c r="G60" s="10"/>
      <c r="H60" s="10" t="s">
        <v>134</v>
      </c>
      <c r="I60" s="11" t="s">
        <v>7</v>
      </c>
      <c r="J60" s="12"/>
    </row>
    <row r="61" spans="1:10" x14ac:dyDescent="0.25">
      <c r="A61" s="10">
        <v>57</v>
      </c>
      <c r="B61" s="10" t="s">
        <v>153</v>
      </c>
      <c r="C61" s="10" t="s">
        <v>10</v>
      </c>
      <c r="D61" s="10" t="s">
        <v>16</v>
      </c>
      <c r="E61" s="10" t="s">
        <v>154</v>
      </c>
      <c r="F61" s="10" t="s">
        <v>152</v>
      </c>
      <c r="G61" s="10"/>
      <c r="H61" s="10" t="s">
        <v>134</v>
      </c>
      <c r="I61" s="11" t="s">
        <v>7</v>
      </c>
      <c r="J61" s="12"/>
    </row>
    <row r="62" spans="1:10" x14ac:dyDescent="0.25">
      <c r="A62" s="10">
        <v>58</v>
      </c>
      <c r="B62" s="10" t="s">
        <v>155</v>
      </c>
      <c r="C62" s="10" t="s">
        <v>10</v>
      </c>
      <c r="D62" s="10" t="s">
        <v>16</v>
      </c>
      <c r="E62" s="10" t="s">
        <v>156</v>
      </c>
      <c r="F62" s="10" t="s">
        <v>152</v>
      </c>
      <c r="G62" s="10"/>
      <c r="H62" s="10" t="s">
        <v>134</v>
      </c>
      <c r="I62" s="11" t="s">
        <v>7</v>
      </c>
      <c r="J62" s="12" t="s">
        <v>372</v>
      </c>
    </row>
    <row r="63" spans="1:10" x14ac:dyDescent="0.25">
      <c r="A63" s="10">
        <v>59</v>
      </c>
      <c r="B63" s="10" t="s">
        <v>157</v>
      </c>
      <c r="C63" s="10" t="s">
        <v>10</v>
      </c>
      <c r="D63" s="10" t="s">
        <v>17</v>
      </c>
      <c r="E63" s="10" t="s">
        <v>158</v>
      </c>
      <c r="F63" s="10" t="s">
        <v>121</v>
      </c>
      <c r="G63" s="10"/>
      <c r="H63" s="10" t="s">
        <v>134</v>
      </c>
      <c r="I63" s="11" t="s">
        <v>7</v>
      </c>
      <c r="J63" s="12"/>
    </row>
    <row r="64" spans="1:10" ht="25.5" x14ac:dyDescent="0.25">
      <c r="A64" s="10">
        <v>60</v>
      </c>
      <c r="B64" s="10" t="s">
        <v>159</v>
      </c>
      <c r="C64" s="10" t="s">
        <v>10</v>
      </c>
      <c r="D64" s="10" t="s">
        <v>17</v>
      </c>
      <c r="E64" s="10" t="s">
        <v>160</v>
      </c>
      <c r="F64" s="10" t="s">
        <v>137</v>
      </c>
      <c r="G64" s="10"/>
      <c r="H64" s="10" t="s">
        <v>134</v>
      </c>
      <c r="I64" s="11" t="s">
        <v>7</v>
      </c>
      <c r="J64" s="12"/>
    </row>
    <row r="65" spans="1:10" x14ac:dyDescent="0.25">
      <c r="A65" s="10">
        <v>61</v>
      </c>
      <c r="B65" s="10" t="s">
        <v>161</v>
      </c>
      <c r="C65" s="10" t="s">
        <v>10</v>
      </c>
      <c r="D65" s="10" t="s">
        <v>17</v>
      </c>
      <c r="E65" s="10" t="s">
        <v>162</v>
      </c>
      <c r="F65" s="10" t="s">
        <v>137</v>
      </c>
      <c r="G65" s="10"/>
      <c r="H65" s="10" t="s">
        <v>134</v>
      </c>
      <c r="I65" s="11" t="s">
        <v>7</v>
      </c>
      <c r="J65" s="12"/>
    </row>
    <row r="66" spans="1:10" x14ac:dyDescent="0.25">
      <c r="A66" s="10">
        <v>62</v>
      </c>
      <c r="B66" s="10" t="s">
        <v>163</v>
      </c>
      <c r="C66" s="10" t="s">
        <v>10</v>
      </c>
      <c r="D66" s="10" t="s">
        <v>17</v>
      </c>
      <c r="E66" s="10" t="s">
        <v>164</v>
      </c>
      <c r="F66" s="10" t="s">
        <v>121</v>
      </c>
      <c r="G66" s="13" t="s">
        <v>51</v>
      </c>
      <c r="H66" s="10" t="s">
        <v>134</v>
      </c>
      <c r="I66" s="11" t="s">
        <v>7</v>
      </c>
      <c r="J66" s="12"/>
    </row>
    <row r="67" spans="1:10" ht="25.5" x14ac:dyDescent="0.25">
      <c r="A67" s="10">
        <v>63</v>
      </c>
      <c r="B67" s="10" t="s">
        <v>165</v>
      </c>
      <c r="C67" s="10" t="s">
        <v>10</v>
      </c>
      <c r="D67" s="10" t="s">
        <v>17</v>
      </c>
      <c r="E67" s="10" t="s">
        <v>166</v>
      </c>
      <c r="F67" s="10" t="s">
        <v>137</v>
      </c>
      <c r="G67" s="10"/>
      <c r="H67" s="10" t="s">
        <v>134</v>
      </c>
      <c r="I67" s="11" t="s">
        <v>7</v>
      </c>
      <c r="J67" s="12"/>
    </row>
    <row r="68" spans="1:10" x14ac:dyDescent="0.25">
      <c r="A68" s="10">
        <v>64</v>
      </c>
      <c r="B68" s="10" t="s">
        <v>167</v>
      </c>
      <c r="C68" s="10" t="s">
        <v>10</v>
      </c>
      <c r="D68" s="10" t="s">
        <v>17</v>
      </c>
      <c r="E68" s="10" t="s">
        <v>168</v>
      </c>
      <c r="F68" s="10" t="s">
        <v>137</v>
      </c>
      <c r="G68" s="10"/>
      <c r="H68" s="10" t="s">
        <v>134</v>
      </c>
      <c r="I68" s="11" t="s">
        <v>7</v>
      </c>
      <c r="J68" s="12"/>
    </row>
    <row r="69" spans="1:10" x14ac:dyDescent="0.25">
      <c r="A69" s="10">
        <v>65</v>
      </c>
      <c r="B69" s="10" t="s">
        <v>169</v>
      </c>
      <c r="C69" s="10" t="s">
        <v>10</v>
      </c>
      <c r="D69" s="10" t="s">
        <v>17</v>
      </c>
      <c r="E69" s="10" t="s">
        <v>170</v>
      </c>
      <c r="F69" s="10" t="s">
        <v>125</v>
      </c>
      <c r="G69" s="10"/>
      <c r="H69" s="10" t="s">
        <v>134</v>
      </c>
      <c r="I69" s="11" t="s">
        <v>7</v>
      </c>
      <c r="J69" s="12"/>
    </row>
    <row r="70" spans="1:10" x14ac:dyDescent="0.25">
      <c r="A70" s="10">
        <v>66</v>
      </c>
      <c r="B70" s="10" t="s">
        <v>171</v>
      </c>
      <c r="C70" s="10" t="s">
        <v>10</v>
      </c>
      <c r="D70" s="10" t="s">
        <v>17</v>
      </c>
      <c r="E70" s="10" t="s">
        <v>172</v>
      </c>
      <c r="F70" s="10" t="s">
        <v>173</v>
      </c>
      <c r="G70" s="10"/>
      <c r="H70" s="10" t="s">
        <v>134</v>
      </c>
      <c r="I70" s="11" t="s">
        <v>7</v>
      </c>
      <c r="J70" s="12"/>
    </row>
    <row r="71" spans="1:10" x14ac:dyDescent="0.25">
      <c r="A71" s="10">
        <v>67</v>
      </c>
      <c r="B71" s="10" t="s">
        <v>174</v>
      </c>
      <c r="C71" s="10" t="s">
        <v>10</v>
      </c>
      <c r="D71" s="10" t="s">
        <v>17</v>
      </c>
      <c r="E71" s="10" t="s">
        <v>175</v>
      </c>
      <c r="F71" s="10" t="s">
        <v>152</v>
      </c>
      <c r="G71" s="10"/>
      <c r="H71" s="10" t="s">
        <v>134</v>
      </c>
      <c r="I71" s="11" t="s">
        <v>7</v>
      </c>
      <c r="J71" s="12"/>
    </row>
    <row r="72" spans="1:10" ht="25.5" x14ac:dyDescent="0.25">
      <c r="A72" s="10">
        <v>68</v>
      </c>
      <c r="B72" s="10" t="s">
        <v>176</v>
      </c>
      <c r="C72" s="10" t="s">
        <v>10</v>
      </c>
      <c r="D72" s="10" t="s">
        <v>17</v>
      </c>
      <c r="E72" s="10" t="s">
        <v>177</v>
      </c>
      <c r="F72" s="10" t="s">
        <v>152</v>
      </c>
      <c r="G72" s="10"/>
      <c r="H72" s="10" t="s">
        <v>134</v>
      </c>
      <c r="I72" s="11" t="s">
        <v>7</v>
      </c>
      <c r="J72" s="12"/>
    </row>
    <row r="73" spans="1:10" x14ac:dyDescent="0.25">
      <c r="A73" s="10">
        <v>69</v>
      </c>
      <c r="B73" s="10" t="s">
        <v>178</v>
      </c>
      <c r="C73" s="10" t="s">
        <v>10</v>
      </c>
      <c r="D73" s="10" t="s">
        <v>17</v>
      </c>
      <c r="E73" s="10" t="s">
        <v>179</v>
      </c>
      <c r="F73" s="10" t="s">
        <v>152</v>
      </c>
      <c r="G73" s="10"/>
      <c r="H73" s="10" t="s">
        <v>134</v>
      </c>
      <c r="I73" s="11" t="s">
        <v>7</v>
      </c>
      <c r="J73" s="12"/>
    </row>
    <row r="74" spans="1:10" x14ac:dyDescent="0.25">
      <c r="A74" s="10">
        <v>70</v>
      </c>
      <c r="B74" s="10" t="s">
        <v>180</v>
      </c>
      <c r="C74" s="10" t="s">
        <v>10</v>
      </c>
      <c r="D74" s="10" t="s">
        <v>17</v>
      </c>
      <c r="E74" s="10" t="s">
        <v>181</v>
      </c>
      <c r="F74" s="10" t="s">
        <v>125</v>
      </c>
      <c r="G74" s="10"/>
      <c r="H74" s="10" t="s">
        <v>134</v>
      </c>
      <c r="I74" s="11" t="s">
        <v>7</v>
      </c>
      <c r="J74" s="12"/>
    </row>
    <row r="75" spans="1:10" x14ac:dyDescent="0.25">
      <c r="A75" s="10">
        <v>71</v>
      </c>
      <c r="B75" s="10" t="s">
        <v>182</v>
      </c>
      <c r="C75" s="10" t="s">
        <v>10</v>
      </c>
      <c r="D75" s="10" t="s">
        <v>17</v>
      </c>
      <c r="E75" s="10" t="s">
        <v>183</v>
      </c>
      <c r="F75" s="10" t="s">
        <v>125</v>
      </c>
      <c r="G75" s="10"/>
      <c r="H75" s="10" t="s">
        <v>134</v>
      </c>
      <c r="I75" s="11" t="s">
        <v>7</v>
      </c>
      <c r="J75" s="12"/>
    </row>
    <row r="76" spans="1:10" x14ac:dyDescent="0.25">
      <c r="A76" s="10">
        <v>72</v>
      </c>
      <c r="B76" s="10" t="s">
        <v>184</v>
      </c>
      <c r="C76" s="10" t="s">
        <v>10</v>
      </c>
      <c r="D76" s="10" t="s">
        <v>18</v>
      </c>
      <c r="E76" s="10" t="s">
        <v>185</v>
      </c>
      <c r="F76" s="10" t="s">
        <v>121</v>
      </c>
      <c r="G76" s="10"/>
      <c r="H76" s="10" t="s">
        <v>134</v>
      </c>
      <c r="I76" s="11" t="s">
        <v>7</v>
      </c>
      <c r="J76" s="12"/>
    </row>
    <row r="77" spans="1:10" ht="25.5" x14ac:dyDescent="0.25">
      <c r="A77" s="10">
        <v>73</v>
      </c>
      <c r="B77" s="10" t="s">
        <v>186</v>
      </c>
      <c r="C77" s="10" t="s">
        <v>10</v>
      </c>
      <c r="D77" s="10" t="s">
        <v>18</v>
      </c>
      <c r="E77" s="10" t="s">
        <v>187</v>
      </c>
      <c r="F77" s="10" t="s">
        <v>121</v>
      </c>
      <c r="G77" s="10"/>
      <c r="H77" s="10" t="s">
        <v>134</v>
      </c>
      <c r="I77" s="11" t="s">
        <v>7</v>
      </c>
      <c r="J77" s="12"/>
    </row>
    <row r="78" spans="1:10" x14ac:dyDescent="0.25">
      <c r="A78" s="10">
        <v>74</v>
      </c>
      <c r="B78" s="10" t="s">
        <v>188</v>
      </c>
      <c r="C78" s="10" t="s">
        <v>10</v>
      </c>
      <c r="D78" s="10" t="s">
        <v>18</v>
      </c>
      <c r="E78" s="10" t="s">
        <v>189</v>
      </c>
      <c r="F78" s="10" t="s">
        <v>121</v>
      </c>
      <c r="G78" s="10"/>
      <c r="H78" s="10" t="s">
        <v>134</v>
      </c>
      <c r="I78" s="11" t="s">
        <v>7</v>
      </c>
      <c r="J78" s="12"/>
    </row>
    <row r="79" spans="1:10" ht="25.5" x14ac:dyDescent="0.25">
      <c r="A79" s="10">
        <v>75</v>
      </c>
      <c r="B79" s="10" t="s">
        <v>190</v>
      </c>
      <c r="C79" s="10" t="s">
        <v>10</v>
      </c>
      <c r="D79" s="10" t="s">
        <v>18</v>
      </c>
      <c r="E79" s="10" t="s">
        <v>191</v>
      </c>
      <c r="F79" s="10" t="s">
        <v>121</v>
      </c>
      <c r="G79" s="10"/>
      <c r="H79" s="10" t="s">
        <v>134</v>
      </c>
      <c r="I79" s="11" t="s">
        <v>7</v>
      </c>
      <c r="J79" s="12"/>
    </row>
    <row r="80" spans="1:10" ht="25.5" x14ac:dyDescent="0.25">
      <c r="A80" s="10">
        <v>76</v>
      </c>
      <c r="B80" s="10" t="s">
        <v>192</v>
      </c>
      <c r="C80" s="10" t="s">
        <v>10</v>
      </c>
      <c r="D80" s="10" t="s">
        <v>18</v>
      </c>
      <c r="E80" s="10" t="s">
        <v>193</v>
      </c>
      <c r="F80" s="10" t="s">
        <v>137</v>
      </c>
      <c r="G80" s="10"/>
      <c r="H80" s="10" t="s">
        <v>134</v>
      </c>
      <c r="I80" s="11" t="s">
        <v>7</v>
      </c>
      <c r="J80" s="12"/>
    </row>
    <row r="81" spans="1:10" ht="25.5" x14ac:dyDescent="0.25">
      <c r="A81" s="10">
        <v>77</v>
      </c>
      <c r="B81" s="10" t="s">
        <v>194</v>
      </c>
      <c r="C81" s="10" t="s">
        <v>10</v>
      </c>
      <c r="D81" s="10" t="s">
        <v>18</v>
      </c>
      <c r="E81" s="10" t="s">
        <v>195</v>
      </c>
      <c r="F81" s="10" t="s">
        <v>137</v>
      </c>
      <c r="G81" s="10"/>
      <c r="H81" s="10" t="s">
        <v>134</v>
      </c>
      <c r="I81" s="11" t="s">
        <v>7</v>
      </c>
      <c r="J81" s="12"/>
    </row>
    <row r="82" spans="1:10" x14ac:dyDescent="0.25">
      <c r="A82" s="10">
        <v>78</v>
      </c>
      <c r="B82" s="10" t="s">
        <v>196</v>
      </c>
      <c r="C82" s="10" t="s">
        <v>10</v>
      </c>
      <c r="D82" s="10" t="s">
        <v>18</v>
      </c>
      <c r="E82" s="10" t="s">
        <v>197</v>
      </c>
      <c r="F82" s="10" t="s">
        <v>121</v>
      </c>
      <c r="G82" s="13" t="s">
        <v>56</v>
      </c>
      <c r="H82" s="10" t="s">
        <v>134</v>
      </c>
      <c r="I82" s="11" t="s">
        <v>7</v>
      </c>
      <c r="J82" s="12"/>
    </row>
    <row r="83" spans="1:10" ht="25.5" x14ac:dyDescent="0.25">
      <c r="A83" s="10">
        <v>79</v>
      </c>
      <c r="B83" s="10" t="s">
        <v>198</v>
      </c>
      <c r="C83" s="10" t="s">
        <v>10</v>
      </c>
      <c r="D83" s="10" t="s">
        <v>18</v>
      </c>
      <c r="E83" s="10" t="s">
        <v>199</v>
      </c>
      <c r="F83" s="10" t="s">
        <v>137</v>
      </c>
      <c r="G83" s="10"/>
      <c r="H83" s="10" t="s">
        <v>134</v>
      </c>
      <c r="I83" s="11" t="s">
        <v>7</v>
      </c>
      <c r="J83" s="12"/>
    </row>
    <row r="84" spans="1:10" ht="25.5" x14ac:dyDescent="0.25">
      <c r="A84" s="10">
        <v>80</v>
      </c>
      <c r="B84" s="10" t="s">
        <v>200</v>
      </c>
      <c r="C84" s="10" t="s">
        <v>10</v>
      </c>
      <c r="D84" s="10" t="s">
        <v>18</v>
      </c>
      <c r="E84" s="10" t="s">
        <v>201</v>
      </c>
      <c r="F84" s="10" t="s">
        <v>125</v>
      </c>
      <c r="G84" s="10"/>
      <c r="H84" s="10" t="s">
        <v>134</v>
      </c>
      <c r="I84" s="11" t="s">
        <v>7</v>
      </c>
      <c r="J84" s="12"/>
    </row>
    <row r="85" spans="1:10" x14ac:dyDescent="0.25">
      <c r="A85" s="10">
        <v>81</v>
      </c>
      <c r="B85" s="10" t="s">
        <v>202</v>
      </c>
      <c r="C85" s="10" t="s">
        <v>10</v>
      </c>
      <c r="D85" s="10" t="s">
        <v>18</v>
      </c>
      <c r="E85" s="10" t="s">
        <v>203</v>
      </c>
      <c r="F85" s="10" t="s">
        <v>137</v>
      </c>
      <c r="G85" s="10"/>
      <c r="H85" s="10" t="s">
        <v>134</v>
      </c>
      <c r="I85" s="11" t="s">
        <v>7</v>
      </c>
      <c r="J85" s="12"/>
    </row>
    <row r="86" spans="1:10" x14ac:dyDescent="0.25">
      <c r="A86" s="10">
        <v>82</v>
      </c>
      <c r="B86" s="10" t="s">
        <v>204</v>
      </c>
      <c r="C86" s="10" t="s">
        <v>10</v>
      </c>
      <c r="D86" s="10" t="s">
        <v>18</v>
      </c>
      <c r="E86" s="10" t="s">
        <v>205</v>
      </c>
      <c r="F86" s="10" t="s">
        <v>137</v>
      </c>
      <c r="G86" s="10"/>
      <c r="H86" s="10" t="s">
        <v>134</v>
      </c>
      <c r="I86" s="11" t="s">
        <v>7</v>
      </c>
      <c r="J86" s="12"/>
    </row>
    <row r="87" spans="1:10" x14ac:dyDescent="0.25">
      <c r="A87" s="10">
        <v>83</v>
      </c>
      <c r="B87" s="10" t="s">
        <v>206</v>
      </c>
      <c r="C87" s="10" t="s">
        <v>10</v>
      </c>
      <c r="D87" s="10" t="s">
        <v>18</v>
      </c>
      <c r="E87" s="10" t="s">
        <v>207</v>
      </c>
      <c r="F87" s="10" t="s">
        <v>152</v>
      </c>
      <c r="G87" s="10"/>
      <c r="H87" s="10" t="s">
        <v>134</v>
      </c>
      <c r="I87" s="11" t="s">
        <v>7</v>
      </c>
      <c r="J87" s="12"/>
    </row>
    <row r="88" spans="1:10" x14ac:dyDescent="0.25">
      <c r="A88" s="10">
        <v>84</v>
      </c>
      <c r="B88" s="10" t="s">
        <v>208</v>
      </c>
      <c r="C88" s="10" t="s">
        <v>10</v>
      </c>
      <c r="D88" s="10" t="s">
        <v>18</v>
      </c>
      <c r="E88" s="10" t="s">
        <v>209</v>
      </c>
      <c r="F88" s="10" t="s">
        <v>152</v>
      </c>
      <c r="G88" s="10"/>
      <c r="H88" s="10" t="s">
        <v>134</v>
      </c>
      <c r="I88" s="11" t="s">
        <v>7</v>
      </c>
      <c r="J88" s="12"/>
    </row>
    <row r="89" spans="1:10" x14ac:dyDescent="0.25">
      <c r="A89" s="10">
        <v>85</v>
      </c>
      <c r="B89" s="10" t="s">
        <v>210</v>
      </c>
      <c r="C89" s="10" t="s">
        <v>10</v>
      </c>
      <c r="D89" s="10" t="s">
        <v>18</v>
      </c>
      <c r="E89" s="10" t="s">
        <v>211</v>
      </c>
      <c r="F89" s="10" t="s">
        <v>125</v>
      </c>
      <c r="G89" s="10"/>
      <c r="H89" s="10" t="s">
        <v>134</v>
      </c>
      <c r="I89" s="11" t="s">
        <v>7</v>
      </c>
      <c r="J89" s="12"/>
    </row>
    <row r="90" spans="1:10" x14ac:dyDescent="0.25">
      <c r="A90" s="10">
        <v>86</v>
      </c>
      <c r="B90" s="10" t="s">
        <v>212</v>
      </c>
      <c r="C90" s="10" t="s">
        <v>10</v>
      </c>
      <c r="D90" s="10" t="s">
        <v>18</v>
      </c>
      <c r="E90" s="10" t="s">
        <v>213</v>
      </c>
      <c r="F90" s="10" t="s">
        <v>125</v>
      </c>
      <c r="G90" s="13" t="s">
        <v>82</v>
      </c>
      <c r="H90" s="10" t="s">
        <v>134</v>
      </c>
      <c r="I90" s="11" t="s">
        <v>7</v>
      </c>
      <c r="J90" s="12"/>
    </row>
    <row r="91" spans="1:10" x14ac:dyDescent="0.25">
      <c r="A91" s="10">
        <v>87</v>
      </c>
      <c r="B91" s="10" t="s">
        <v>214</v>
      </c>
      <c r="C91" s="10" t="s">
        <v>10</v>
      </c>
      <c r="D91" s="10" t="s">
        <v>18</v>
      </c>
      <c r="E91" s="10" t="s">
        <v>215</v>
      </c>
      <c r="F91" s="10" t="s">
        <v>125</v>
      </c>
      <c r="G91" s="10"/>
      <c r="H91" s="10" t="s">
        <v>134</v>
      </c>
      <c r="I91" s="11" t="s">
        <v>7</v>
      </c>
      <c r="J91" s="12"/>
    </row>
    <row r="92" spans="1:10" x14ac:dyDescent="0.25">
      <c r="A92" s="10">
        <v>88</v>
      </c>
      <c r="B92" s="10" t="s">
        <v>216</v>
      </c>
      <c r="C92" s="10" t="s">
        <v>10</v>
      </c>
      <c r="D92" s="10" t="s">
        <v>18</v>
      </c>
      <c r="E92" s="10" t="s">
        <v>217</v>
      </c>
      <c r="F92" s="10" t="s">
        <v>173</v>
      </c>
      <c r="G92" s="10"/>
      <c r="H92" s="10" t="s">
        <v>134</v>
      </c>
      <c r="I92" s="11" t="s">
        <v>7</v>
      </c>
      <c r="J92" s="12"/>
    </row>
    <row r="93" spans="1:10" x14ac:dyDescent="0.25">
      <c r="A93" s="10">
        <v>89</v>
      </c>
      <c r="B93" s="10" t="s">
        <v>218</v>
      </c>
      <c r="C93" s="10" t="s">
        <v>10</v>
      </c>
      <c r="D93" s="10" t="s">
        <v>18</v>
      </c>
      <c r="E93" s="10" t="s">
        <v>219</v>
      </c>
      <c r="F93" s="10" t="s">
        <v>125</v>
      </c>
      <c r="G93" s="10"/>
      <c r="H93" s="10" t="s">
        <v>134</v>
      </c>
      <c r="I93" s="11" t="s">
        <v>7</v>
      </c>
      <c r="J93" s="12" t="s">
        <v>373</v>
      </c>
    </row>
    <row r="94" spans="1:10" x14ac:dyDescent="0.25">
      <c r="A94" s="10">
        <v>90</v>
      </c>
      <c r="B94" s="10" t="s">
        <v>220</v>
      </c>
      <c r="C94" s="10" t="s">
        <v>10</v>
      </c>
      <c r="D94" s="10" t="s">
        <v>19</v>
      </c>
      <c r="E94" s="10" t="s">
        <v>221</v>
      </c>
      <c r="F94" s="10" t="s">
        <v>137</v>
      </c>
      <c r="G94" s="10"/>
      <c r="H94" s="10" t="s">
        <v>134</v>
      </c>
      <c r="I94" s="11" t="s">
        <v>7</v>
      </c>
      <c r="J94" s="12"/>
    </row>
    <row r="95" spans="1:10" ht="25.5" x14ac:dyDescent="0.25">
      <c r="A95" s="10">
        <v>91</v>
      </c>
      <c r="B95" s="10" t="s">
        <v>222</v>
      </c>
      <c r="C95" s="10" t="s">
        <v>10</v>
      </c>
      <c r="D95" s="10" t="s">
        <v>19</v>
      </c>
      <c r="E95" s="10" t="s">
        <v>223</v>
      </c>
      <c r="F95" s="10" t="s">
        <v>137</v>
      </c>
      <c r="G95" s="10"/>
      <c r="H95" s="10" t="s">
        <v>134</v>
      </c>
      <c r="I95" s="11" t="s">
        <v>7</v>
      </c>
      <c r="J95" s="12"/>
    </row>
    <row r="96" spans="1:10" x14ac:dyDescent="0.25">
      <c r="A96" s="10">
        <v>92</v>
      </c>
      <c r="B96" s="10" t="s">
        <v>224</v>
      </c>
      <c r="C96" s="10" t="s">
        <v>10</v>
      </c>
      <c r="D96" s="10" t="s">
        <v>19</v>
      </c>
      <c r="E96" s="10" t="s">
        <v>225</v>
      </c>
      <c r="F96" s="10" t="s">
        <v>121</v>
      </c>
      <c r="G96" s="10"/>
      <c r="H96" s="10" t="s">
        <v>134</v>
      </c>
      <c r="I96" s="11" t="s">
        <v>7</v>
      </c>
      <c r="J96" s="12"/>
    </row>
    <row r="97" spans="1:10" ht="25.5" x14ac:dyDescent="0.25">
      <c r="A97" s="10">
        <v>93</v>
      </c>
      <c r="B97" s="10" t="s">
        <v>226</v>
      </c>
      <c r="C97" s="10" t="s">
        <v>10</v>
      </c>
      <c r="D97" s="10" t="s">
        <v>19</v>
      </c>
      <c r="E97" s="10" t="s">
        <v>227</v>
      </c>
      <c r="F97" s="10" t="s">
        <v>125</v>
      </c>
      <c r="G97" s="13" t="s">
        <v>56</v>
      </c>
      <c r="H97" s="10" t="s">
        <v>134</v>
      </c>
      <c r="I97" s="11" t="s">
        <v>7</v>
      </c>
      <c r="J97" s="12"/>
    </row>
    <row r="98" spans="1:10" ht="25.5" x14ac:dyDescent="0.25">
      <c r="A98" s="10">
        <v>94</v>
      </c>
      <c r="B98" s="10" t="s">
        <v>228</v>
      </c>
      <c r="C98" s="10" t="s">
        <v>10</v>
      </c>
      <c r="D98" s="10" t="s">
        <v>19</v>
      </c>
      <c r="E98" s="10" t="s">
        <v>229</v>
      </c>
      <c r="F98" s="10" t="s">
        <v>121</v>
      </c>
      <c r="G98" s="13" t="s">
        <v>51</v>
      </c>
      <c r="H98" s="10" t="s">
        <v>134</v>
      </c>
      <c r="I98" s="11" t="s">
        <v>7</v>
      </c>
      <c r="J98" s="12"/>
    </row>
    <row r="99" spans="1:10" x14ac:dyDescent="0.25">
      <c r="A99" s="10">
        <v>95</v>
      </c>
      <c r="B99" s="10" t="s">
        <v>230</v>
      </c>
      <c r="C99" s="10" t="s">
        <v>10</v>
      </c>
      <c r="D99" s="10" t="s">
        <v>19</v>
      </c>
      <c r="E99" s="10" t="s">
        <v>231</v>
      </c>
      <c r="F99" s="10" t="s">
        <v>137</v>
      </c>
      <c r="G99" s="10"/>
      <c r="H99" s="10" t="s">
        <v>134</v>
      </c>
      <c r="I99" s="11" t="s">
        <v>7</v>
      </c>
      <c r="J99" s="12"/>
    </row>
    <row r="100" spans="1:10" x14ac:dyDescent="0.25">
      <c r="A100" s="10">
        <v>96</v>
      </c>
      <c r="B100" s="10" t="s">
        <v>232</v>
      </c>
      <c r="C100" s="10" t="s">
        <v>10</v>
      </c>
      <c r="D100" s="10" t="s">
        <v>19</v>
      </c>
      <c r="E100" s="10" t="s">
        <v>233</v>
      </c>
      <c r="F100" s="10" t="s">
        <v>125</v>
      </c>
      <c r="G100" s="13" t="s">
        <v>51</v>
      </c>
      <c r="H100" s="10" t="s">
        <v>134</v>
      </c>
      <c r="I100" s="11" t="s">
        <v>7</v>
      </c>
      <c r="J100" s="12"/>
    </row>
    <row r="101" spans="1:10" x14ac:dyDescent="0.25">
      <c r="A101" s="10">
        <v>97</v>
      </c>
      <c r="B101" s="10" t="s">
        <v>234</v>
      </c>
      <c r="C101" s="10" t="s">
        <v>10</v>
      </c>
      <c r="D101" s="10" t="s">
        <v>19</v>
      </c>
      <c r="E101" s="10" t="s">
        <v>235</v>
      </c>
      <c r="F101" s="10" t="s">
        <v>125</v>
      </c>
      <c r="G101" s="10"/>
      <c r="H101" s="10" t="s">
        <v>134</v>
      </c>
      <c r="I101" s="11" t="s">
        <v>7</v>
      </c>
      <c r="J101" s="12"/>
    </row>
    <row r="102" spans="1:10" x14ac:dyDescent="0.25">
      <c r="A102" s="10">
        <v>98</v>
      </c>
      <c r="B102" s="10" t="s">
        <v>236</v>
      </c>
      <c r="C102" s="10" t="s">
        <v>10</v>
      </c>
      <c r="D102" s="10" t="s">
        <v>19</v>
      </c>
      <c r="E102" s="10" t="s">
        <v>237</v>
      </c>
      <c r="F102" s="10" t="s">
        <v>125</v>
      </c>
      <c r="G102" s="10"/>
      <c r="H102" s="10" t="s">
        <v>134</v>
      </c>
      <c r="I102" s="11" t="s">
        <v>7</v>
      </c>
      <c r="J102" s="12"/>
    </row>
    <row r="103" spans="1:10" ht="25.5" x14ac:dyDescent="0.25">
      <c r="A103" s="10">
        <v>99</v>
      </c>
      <c r="B103" s="10" t="s">
        <v>238</v>
      </c>
      <c r="C103" s="10" t="s">
        <v>10</v>
      </c>
      <c r="D103" s="10" t="s">
        <v>20</v>
      </c>
      <c r="E103" s="10" t="s">
        <v>239</v>
      </c>
      <c r="F103" s="10" t="s">
        <v>121</v>
      </c>
      <c r="G103" s="13" t="s">
        <v>51</v>
      </c>
      <c r="H103" s="10" t="s">
        <v>134</v>
      </c>
      <c r="I103" s="11" t="s">
        <v>7</v>
      </c>
      <c r="J103" s="12"/>
    </row>
    <row r="104" spans="1:10" ht="25.5" x14ac:dyDescent="0.25">
      <c r="A104" s="10">
        <v>100</v>
      </c>
      <c r="B104" s="10" t="s">
        <v>240</v>
      </c>
      <c r="C104" s="10" t="s">
        <v>10</v>
      </c>
      <c r="D104" s="10" t="s">
        <v>20</v>
      </c>
      <c r="E104" s="10" t="s">
        <v>241</v>
      </c>
      <c r="F104" s="10" t="s">
        <v>125</v>
      </c>
      <c r="G104" s="10"/>
      <c r="H104" s="10" t="s">
        <v>134</v>
      </c>
      <c r="I104" s="11" t="s">
        <v>7</v>
      </c>
      <c r="J104" s="12"/>
    </row>
    <row r="105" spans="1:10" ht="25.5" x14ac:dyDescent="0.25">
      <c r="A105" s="10">
        <v>101</v>
      </c>
      <c r="B105" s="10" t="s">
        <v>242</v>
      </c>
      <c r="C105" s="10" t="s">
        <v>10</v>
      </c>
      <c r="D105" s="10" t="s">
        <v>20</v>
      </c>
      <c r="E105" s="10" t="s">
        <v>243</v>
      </c>
      <c r="F105" s="10" t="s">
        <v>121</v>
      </c>
      <c r="G105" s="13" t="s">
        <v>51</v>
      </c>
      <c r="H105" s="10" t="s">
        <v>134</v>
      </c>
      <c r="I105" s="11" t="s">
        <v>7</v>
      </c>
      <c r="J105" s="12" t="s">
        <v>374</v>
      </c>
    </row>
    <row r="106" spans="1:10" ht="25.5" x14ac:dyDescent="0.25">
      <c r="A106" s="10">
        <v>102</v>
      </c>
      <c r="B106" s="10" t="s">
        <v>244</v>
      </c>
      <c r="C106" s="10" t="s">
        <v>11</v>
      </c>
      <c r="D106" s="10" t="s">
        <v>16</v>
      </c>
      <c r="E106" s="10" t="s">
        <v>245</v>
      </c>
      <c r="F106" s="10" t="s">
        <v>121</v>
      </c>
      <c r="G106" s="10"/>
      <c r="H106" s="10" t="s">
        <v>134</v>
      </c>
      <c r="I106" s="11" t="s">
        <v>7</v>
      </c>
      <c r="J106" s="12"/>
    </row>
    <row r="107" spans="1:10" x14ac:dyDescent="0.25">
      <c r="A107" s="10">
        <v>103</v>
      </c>
      <c r="B107" s="10" t="s">
        <v>246</v>
      </c>
      <c r="C107" s="10" t="s">
        <v>11</v>
      </c>
      <c r="D107" s="10" t="s">
        <v>16</v>
      </c>
      <c r="E107" s="10" t="s">
        <v>247</v>
      </c>
      <c r="F107" s="10" t="s">
        <v>137</v>
      </c>
      <c r="G107" s="10"/>
      <c r="H107" s="10" t="s">
        <v>134</v>
      </c>
      <c r="I107" s="11" t="s">
        <v>7</v>
      </c>
      <c r="J107" s="12"/>
    </row>
    <row r="108" spans="1:10" x14ac:dyDescent="0.25">
      <c r="A108" s="10">
        <v>104</v>
      </c>
      <c r="B108" s="10" t="s">
        <v>248</v>
      </c>
      <c r="C108" s="10" t="s">
        <v>11</v>
      </c>
      <c r="D108" s="10" t="s">
        <v>16</v>
      </c>
      <c r="E108" s="10" t="s">
        <v>249</v>
      </c>
      <c r="F108" s="10" t="s">
        <v>137</v>
      </c>
      <c r="G108" s="10"/>
      <c r="H108" s="10" t="s">
        <v>134</v>
      </c>
      <c r="I108" s="11" t="s">
        <v>7</v>
      </c>
      <c r="J108" s="12"/>
    </row>
    <row r="109" spans="1:10" x14ac:dyDescent="0.25">
      <c r="A109" s="10">
        <v>105</v>
      </c>
      <c r="B109" s="10" t="s">
        <v>250</v>
      </c>
      <c r="C109" s="10" t="s">
        <v>11</v>
      </c>
      <c r="D109" s="10" t="s">
        <v>17</v>
      </c>
      <c r="E109" s="10" t="s">
        <v>251</v>
      </c>
      <c r="F109" s="10" t="s">
        <v>137</v>
      </c>
      <c r="G109" s="10"/>
      <c r="H109" s="10" t="s">
        <v>134</v>
      </c>
      <c r="I109" s="11" t="s">
        <v>7</v>
      </c>
      <c r="J109" s="12"/>
    </row>
    <row r="110" spans="1:10" x14ac:dyDescent="0.25">
      <c r="A110" s="10">
        <v>106</v>
      </c>
      <c r="B110" s="10" t="s">
        <v>252</v>
      </c>
      <c r="C110" s="10" t="s">
        <v>11</v>
      </c>
      <c r="D110" s="10" t="s">
        <v>17</v>
      </c>
      <c r="E110" s="10" t="s">
        <v>253</v>
      </c>
      <c r="F110" s="10" t="s">
        <v>121</v>
      </c>
      <c r="G110" s="10"/>
      <c r="H110" s="10" t="s">
        <v>134</v>
      </c>
      <c r="I110" s="11" t="s">
        <v>7</v>
      </c>
      <c r="J110" s="12"/>
    </row>
    <row r="111" spans="1:10" x14ac:dyDescent="0.25">
      <c r="A111" s="10">
        <v>107</v>
      </c>
      <c r="B111" s="10" t="s">
        <v>254</v>
      </c>
      <c r="C111" s="10" t="s">
        <v>11</v>
      </c>
      <c r="D111" s="10" t="s">
        <v>17</v>
      </c>
      <c r="E111" s="10" t="s">
        <v>255</v>
      </c>
      <c r="F111" s="10" t="s">
        <v>121</v>
      </c>
      <c r="G111" s="10"/>
      <c r="H111" s="10" t="s">
        <v>134</v>
      </c>
      <c r="I111" s="11" t="s">
        <v>7</v>
      </c>
      <c r="J111" s="12"/>
    </row>
    <row r="112" spans="1:10" ht="25.5" x14ac:dyDescent="0.25">
      <c r="A112" s="10">
        <v>108</v>
      </c>
      <c r="B112" s="10" t="s">
        <v>256</v>
      </c>
      <c r="C112" s="10" t="s">
        <v>11</v>
      </c>
      <c r="D112" s="10" t="s">
        <v>17</v>
      </c>
      <c r="E112" s="10" t="s">
        <v>257</v>
      </c>
      <c r="F112" s="10" t="s">
        <v>121</v>
      </c>
      <c r="G112" s="10"/>
      <c r="H112" s="10" t="s">
        <v>134</v>
      </c>
      <c r="I112" s="11" t="s">
        <v>7</v>
      </c>
      <c r="J112" s="12"/>
    </row>
    <row r="113" spans="1:10" x14ac:dyDescent="0.25">
      <c r="A113" s="10">
        <v>109</v>
      </c>
      <c r="B113" s="10" t="s">
        <v>258</v>
      </c>
      <c r="C113" s="10" t="s">
        <v>11</v>
      </c>
      <c r="D113" s="10" t="s">
        <v>17</v>
      </c>
      <c r="E113" s="10" t="s">
        <v>259</v>
      </c>
      <c r="F113" s="10" t="s">
        <v>121</v>
      </c>
      <c r="G113" s="13" t="s">
        <v>56</v>
      </c>
      <c r="H113" s="10" t="s">
        <v>134</v>
      </c>
      <c r="I113" s="11" t="s">
        <v>7</v>
      </c>
      <c r="J113" s="12"/>
    </row>
    <row r="114" spans="1:10" ht="25.5" x14ac:dyDescent="0.25">
      <c r="A114" s="10">
        <v>110</v>
      </c>
      <c r="B114" s="10" t="s">
        <v>260</v>
      </c>
      <c r="C114" s="10" t="s">
        <v>11</v>
      </c>
      <c r="D114" s="10" t="s">
        <v>18</v>
      </c>
      <c r="E114" s="10" t="s">
        <v>261</v>
      </c>
      <c r="F114" s="10" t="s">
        <v>137</v>
      </c>
      <c r="G114" s="10"/>
      <c r="H114" s="10" t="s">
        <v>134</v>
      </c>
      <c r="I114" s="11" t="s">
        <v>7</v>
      </c>
      <c r="J114" s="12"/>
    </row>
    <row r="115" spans="1:10" x14ac:dyDescent="0.25">
      <c r="A115" s="10">
        <v>111</v>
      </c>
      <c r="B115" s="10" t="s">
        <v>262</v>
      </c>
      <c r="C115" s="10" t="s">
        <v>11</v>
      </c>
      <c r="D115" s="10" t="s">
        <v>18</v>
      </c>
      <c r="E115" s="10" t="s">
        <v>263</v>
      </c>
      <c r="F115" s="10" t="s">
        <v>121</v>
      </c>
      <c r="G115" s="10"/>
      <c r="H115" s="10" t="s">
        <v>134</v>
      </c>
      <c r="I115" s="11" t="s">
        <v>7</v>
      </c>
      <c r="J115" s="12"/>
    </row>
    <row r="116" spans="1:10" x14ac:dyDescent="0.25">
      <c r="A116" s="10">
        <v>112</v>
      </c>
      <c r="B116" s="10" t="s">
        <v>264</v>
      </c>
      <c r="C116" s="10" t="s">
        <v>11</v>
      </c>
      <c r="D116" s="10" t="s">
        <v>18</v>
      </c>
      <c r="E116" s="10" t="s">
        <v>265</v>
      </c>
      <c r="F116" s="10" t="s">
        <v>121</v>
      </c>
      <c r="G116" s="10"/>
      <c r="H116" s="10" t="s">
        <v>134</v>
      </c>
      <c r="I116" s="11" t="s">
        <v>7</v>
      </c>
      <c r="J116" s="12"/>
    </row>
    <row r="117" spans="1:10" ht="25.5" x14ac:dyDescent="0.25">
      <c r="A117" s="10">
        <v>113</v>
      </c>
      <c r="B117" s="10" t="s">
        <v>266</v>
      </c>
      <c r="C117" s="10" t="s">
        <v>11</v>
      </c>
      <c r="D117" s="10" t="s">
        <v>18</v>
      </c>
      <c r="E117" s="10" t="s">
        <v>267</v>
      </c>
      <c r="F117" s="10" t="s">
        <v>121</v>
      </c>
      <c r="G117" s="10"/>
      <c r="H117" s="10" t="s">
        <v>134</v>
      </c>
      <c r="I117" s="11" t="s">
        <v>7</v>
      </c>
      <c r="J117" s="12"/>
    </row>
    <row r="118" spans="1:10" ht="25.5" x14ac:dyDescent="0.25">
      <c r="A118" s="10">
        <v>114</v>
      </c>
      <c r="B118" s="10" t="s">
        <v>268</v>
      </c>
      <c r="C118" s="10" t="s">
        <v>11</v>
      </c>
      <c r="D118" s="10" t="s">
        <v>19</v>
      </c>
      <c r="E118" s="10" t="s">
        <v>269</v>
      </c>
      <c r="F118" s="10" t="s">
        <v>137</v>
      </c>
      <c r="G118" s="10"/>
      <c r="H118" s="10" t="s">
        <v>134</v>
      </c>
      <c r="I118" s="11" t="s">
        <v>7</v>
      </c>
      <c r="J118" s="12"/>
    </row>
    <row r="119" spans="1:10" ht="25.5" x14ac:dyDescent="0.25">
      <c r="A119" s="10">
        <v>115</v>
      </c>
      <c r="B119" s="10" t="s">
        <v>270</v>
      </c>
      <c r="C119" s="10" t="s">
        <v>11</v>
      </c>
      <c r="D119" s="10" t="s">
        <v>19</v>
      </c>
      <c r="E119" s="10" t="s">
        <v>271</v>
      </c>
      <c r="F119" s="10" t="s">
        <v>121</v>
      </c>
      <c r="G119" s="10"/>
      <c r="H119" s="10" t="s">
        <v>134</v>
      </c>
      <c r="I119" s="11" t="s">
        <v>7</v>
      </c>
      <c r="J119" s="12"/>
    </row>
    <row r="120" spans="1:10" ht="25.5" x14ac:dyDescent="0.25">
      <c r="A120" s="10">
        <v>116</v>
      </c>
      <c r="B120" s="10" t="s">
        <v>272</v>
      </c>
      <c r="C120" s="10" t="s">
        <v>11</v>
      </c>
      <c r="D120" s="10" t="s">
        <v>19</v>
      </c>
      <c r="E120" s="10" t="s">
        <v>273</v>
      </c>
      <c r="F120" s="10" t="s">
        <v>121</v>
      </c>
      <c r="G120" s="10"/>
      <c r="H120" s="10" t="s">
        <v>134</v>
      </c>
      <c r="I120" s="11" t="s">
        <v>7</v>
      </c>
      <c r="J120" s="12"/>
    </row>
    <row r="121" spans="1:10" ht="25.5" x14ac:dyDescent="0.25">
      <c r="A121" s="10">
        <v>117</v>
      </c>
      <c r="B121" s="10" t="s">
        <v>274</v>
      </c>
      <c r="C121" s="10" t="s">
        <v>11</v>
      </c>
      <c r="D121" s="10" t="s">
        <v>19</v>
      </c>
      <c r="E121" s="10" t="s">
        <v>275</v>
      </c>
      <c r="F121" s="10" t="s">
        <v>121</v>
      </c>
      <c r="G121" s="10"/>
      <c r="H121" s="10" t="s">
        <v>134</v>
      </c>
      <c r="I121" s="11" t="s">
        <v>7</v>
      </c>
      <c r="J121" s="12"/>
    </row>
    <row r="122" spans="1:10" x14ac:dyDescent="0.25">
      <c r="A122" s="10">
        <v>118</v>
      </c>
      <c r="B122" s="10" t="s">
        <v>276</v>
      </c>
      <c r="C122" s="10" t="s">
        <v>11</v>
      </c>
      <c r="D122" s="10" t="s">
        <v>20</v>
      </c>
      <c r="E122" s="10" t="s">
        <v>277</v>
      </c>
      <c r="F122" s="10" t="s">
        <v>121</v>
      </c>
      <c r="G122" s="10"/>
      <c r="H122" s="10" t="s">
        <v>134</v>
      </c>
      <c r="I122" s="11" t="s">
        <v>7</v>
      </c>
      <c r="J122" s="12"/>
    </row>
    <row r="123" spans="1:10" ht="25.5" x14ac:dyDescent="0.25">
      <c r="A123" s="10">
        <v>119</v>
      </c>
      <c r="B123" s="10" t="s">
        <v>278</v>
      </c>
      <c r="C123" s="10" t="s">
        <v>11</v>
      </c>
      <c r="D123" s="10" t="s">
        <v>20</v>
      </c>
      <c r="E123" s="10" t="s">
        <v>279</v>
      </c>
      <c r="F123" s="10" t="s">
        <v>121</v>
      </c>
      <c r="G123" s="10"/>
      <c r="H123" s="10" t="s">
        <v>134</v>
      </c>
      <c r="I123" s="11" t="s">
        <v>7</v>
      </c>
      <c r="J123" s="12"/>
    </row>
    <row r="124" spans="1:10" x14ac:dyDescent="0.25">
      <c r="A124" s="10">
        <v>120</v>
      </c>
      <c r="B124" s="10" t="s">
        <v>280</v>
      </c>
      <c r="C124" s="10" t="s">
        <v>12</v>
      </c>
      <c r="D124" s="10" t="s">
        <v>16</v>
      </c>
      <c r="E124" s="10" t="s">
        <v>281</v>
      </c>
      <c r="F124" s="10" t="s">
        <v>121</v>
      </c>
      <c r="G124" s="10"/>
      <c r="H124" s="10" t="s">
        <v>134</v>
      </c>
      <c r="I124" s="11" t="s">
        <v>7</v>
      </c>
      <c r="J124" s="12"/>
    </row>
    <row r="125" spans="1:10" x14ac:dyDescent="0.25">
      <c r="A125" s="10">
        <v>121</v>
      </c>
      <c r="B125" s="10" t="s">
        <v>282</v>
      </c>
      <c r="C125" s="10" t="s">
        <v>12</v>
      </c>
      <c r="D125" s="10" t="s">
        <v>16</v>
      </c>
      <c r="E125" s="10" t="s">
        <v>283</v>
      </c>
      <c r="F125" s="10" t="s">
        <v>121</v>
      </c>
      <c r="G125" s="10"/>
      <c r="H125" s="10" t="s">
        <v>134</v>
      </c>
      <c r="I125" s="11" t="s">
        <v>7</v>
      </c>
      <c r="J125" s="12"/>
    </row>
    <row r="126" spans="1:10" x14ac:dyDescent="0.25">
      <c r="A126" s="10">
        <v>122</v>
      </c>
      <c r="B126" s="10" t="s">
        <v>284</v>
      </c>
      <c r="C126" s="10" t="s">
        <v>12</v>
      </c>
      <c r="D126" s="10" t="s">
        <v>16</v>
      </c>
      <c r="E126" s="10" t="s">
        <v>285</v>
      </c>
      <c r="F126" s="10" t="s">
        <v>121</v>
      </c>
      <c r="G126" s="10"/>
      <c r="H126" s="10" t="s">
        <v>134</v>
      </c>
      <c r="I126" s="11" t="s">
        <v>7</v>
      </c>
      <c r="J126" s="12"/>
    </row>
    <row r="127" spans="1:10" x14ac:dyDescent="0.25">
      <c r="A127" s="10">
        <v>123</v>
      </c>
      <c r="B127" s="10" t="s">
        <v>286</v>
      </c>
      <c r="C127" s="10" t="s">
        <v>12</v>
      </c>
      <c r="D127" s="10" t="s">
        <v>16</v>
      </c>
      <c r="E127" s="10" t="s">
        <v>287</v>
      </c>
      <c r="F127" s="10" t="s">
        <v>121</v>
      </c>
      <c r="G127" s="10"/>
      <c r="H127" s="10" t="s">
        <v>134</v>
      </c>
      <c r="I127" s="11" t="s">
        <v>7</v>
      </c>
      <c r="J127" s="12"/>
    </row>
    <row r="128" spans="1:10" x14ac:dyDescent="0.25">
      <c r="A128" s="10">
        <v>124</v>
      </c>
      <c r="B128" s="10" t="s">
        <v>288</v>
      </c>
      <c r="C128" s="10" t="s">
        <v>12</v>
      </c>
      <c r="D128" s="10" t="s">
        <v>16</v>
      </c>
      <c r="E128" s="10" t="s">
        <v>289</v>
      </c>
      <c r="F128" s="10" t="s">
        <v>121</v>
      </c>
      <c r="G128" s="10"/>
      <c r="H128" s="10" t="s">
        <v>134</v>
      </c>
      <c r="I128" s="11" t="s">
        <v>7</v>
      </c>
      <c r="J128" s="12"/>
    </row>
    <row r="129" spans="1:10" x14ac:dyDescent="0.25">
      <c r="A129" s="10">
        <v>125</v>
      </c>
      <c r="B129" s="10" t="s">
        <v>290</v>
      </c>
      <c r="C129" s="10" t="s">
        <v>12</v>
      </c>
      <c r="D129" s="10" t="s">
        <v>17</v>
      </c>
      <c r="E129" s="10" t="s">
        <v>291</v>
      </c>
      <c r="F129" s="10" t="s">
        <v>137</v>
      </c>
      <c r="G129" s="10"/>
      <c r="H129" s="10" t="s">
        <v>134</v>
      </c>
      <c r="I129" s="11" t="s">
        <v>7</v>
      </c>
      <c r="J129" s="12"/>
    </row>
    <row r="130" spans="1:10" x14ac:dyDescent="0.25">
      <c r="A130" s="10">
        <v>126</v>
      </c>
      <c r="B130" s="10" t="s">
        <v>292</v>
      </c>
      <c r="C130" s="10" t="s">
        <v>12</v>
      </c>
      <c r="D130" s="10" t="s">
        <v>17</v>
      </c>
      <c r="E130" s="10" t="s">
        <v>293</v>
      </c>
      <c r="F130" s="10" t="s">
        <v>121</v>
      </c>
      <c r="G130" s="10"/>
      <c r="H130" s="10" t="s">
        <v>134</v>
      </c>
      <c r="I130" s="11" t="s">
        <v>7</v>
      </c>
      <c r="J130" s="12"/>
    </row>
    <row r="131" spans="1:10" x14ac:dyDescent="0.25">
      <c r="A131" s="10">
        <v>127</v>
      </c>
      <c r="B131" s="10" t="s">
        <v>294</v>
      </c>
      <c r="C131" s="10" t="s">
        <v>12</v>
      </c>
      <c r="D131" s="10" t="s">
        <v>17</v>
      </c>
      <c r="E131" s="10" t="s">
        <v>295</v>
      </c>
      <c r="F131" s="10" t="s">
        <v>121</v>
      </c>
      <c r="G131" s="10"/>
      <c r="H131" s="10" t="s">
        <v>134</v>
      </c>
      <c r="I131" s="11" t="s">
        <v>7</v>
      </c>
      <c r="J131" s="12"/>
    </row>
    <row r="132" spans="1:10" x14ac:dyDescent="0.25">
      <c r="A132" s="10">
        <v>128</v>
      </c>
      <c r="B132" s="10" t="s">
        <v>296</v>
      </c>
      <c r="C132" s="10" t="s">
        <v>12</v>
      </c>
      <c r="D132" s="10" t="s">
        <v>17</v>
      </c>
      <c r="E132" s="10" t="s">
        <v>297</v>
      </c>
      <c r="F132" s="10" t="s">
        <v>121</v>
      </c>
      <c r="G132" s="10"/>
      <c r="H132" s="10" t="s">
        <v>134</v>
      </c>
      <c r="I132" s="11" t="s">
        <v>7</v>
      </c>
      <c r="J132" s="12"/>
    </row>
    <row r="133" spans="1:10" x14ac:dyDescent="0.25">
      <c r="A133" s="10">
        <v>129</v>
      </c>
      <c r="B133" s="10" t="s">
        <v>298</v>
      </c>
      <c r="C133" s="10" t="s">
        <v>12</v>
      </c>
      <c r="D133" s="10" t="s">
        <v>18</v>
      </c>
      <c r="E133" s="10" t="s">
        <v>299</v>
      </c>
      <c r="F133" s="10" t="s">
        <v>121</v>
      </c>
      <c r="G133" s="10"/>
      <c r="H133" s="10" t="s">
        <v>134</v>
      </c>
      <c r="I133" s="11" t="s">
        <v>7</v>
      </c>
      <c r="J133" s="12"/>
    </row>
    <row r="134" spans="1:10" x14ac:dyDescent="0.25">
      <c r="A134" s="10">
        <v>130</v>
      </c>
      <c r="B134" s="10" t="s">
        <v>300</v>
      </c>
      <c r="C134" s="10" t="s">
        <v>12</v>
      </c>
      <c r="D134" s="10" t="s">
        <v>18</v>
      </c>
      <c r="E134" s="10" t="s">
        <v>301</v>
      </c>
      <c r="F134" s="10" t="s">
        <v>121</v>
      </c>
      <c r="G134" s="10"/>
      <c r="H134" s="10" t="s">
        <v>134</v>
      </c>
      <c r="I134" s="11" t="s">
        <v>7</v>
      </c>
      <c r="J134" s="12"/>
    </row>
    <row r="135" spans="1:10" x14ac:dyDescent="0.25">
      <c r="A135" s="10">
        <v>131</v>
      </c>
      <c r="B135" s="10" t="s">
        <v>302</v>
      </c>
      <c r="C135" s="10" t="s">
        <v>12</v>
      </c>
      <c r="D135" s="10" t="s">
        <v>18</v>
      </c>
      <c r="E135" s="10" t="s">
        <v>303</v>
      </c>
      <c r="F135" s="10" t="s">
        <v>121</v>
      </c>
      <c r="G135" s="10"/>
      <c r="H135" s="10" t="s">
        <v>134</v>
      </c>
      <c r="I135" s="11" t="s">
        <v>7</v>
      </c>
      <c r="J135" s="12"/>
    </row>
    <row r="136" spans="1:10" x14ac:dyDescent="0.25">
      <c r="A136" s="10">
        <v>132</v>
      </c>
      <c r="B136" s="10" t="s">
        <v>304</v>
      </c>
      <c r="C136" s="10" t="s">
        <v>12</v>
      </c>
      <c r="D136" s="10" t="s">
        <v>18</v>
      </c>
      <c r="E136" s="10" t="s">
        <v>305</v>
      </c>
      <c r="F136" s="10" t="s">
        <v>121</v>
      </c>
      <c r="G136" s="13" t="s">
        <v>56</v>
      </c>
      <c r="H136" s="10" t="s">
        <v>134</v>
      </c>
      <c r="I136" s="11" t="s">
        <v>7</v>
      </c>
      <c r="J136" s="12"/>
    </row>
    <row r="137" spans="1:10" ht="25.5" x14ac:dyDescent="0.25">
      <c r="A137" s="10">
        <v>133</v>
      </c>
      <c r="B137" s="10" t="s">
        <v>306</v>
      </c>
      <c r="C137" s="10" t="s">
        <v>12</v>
      </c>
      <c r="D137" s="10" t="s">
        <v>18</v>
      </c>
      <c r="E137" s="10" t="s">
        <v>307</v>
      </c>
      <c r="F137" s="10" t="s">
        <v>121</v>
      </c>
      <c r="G137" s="13" t="s">
        <v>51</v>
      </c>
      <c r="H137" s="10" t="s">
        <v>134</v>
      </c>
      <c r="I137" s="11" t="s">
        <v>7</v>
      </c>
      <c r="J137" s="12"/>
    </row>
    <row r="138" spans="1:10" x14ac:dyDescent="0.25">
      <c r="A138" s="10">
        <v>134</v>
      </c>
      <c r="B138" s="10" t="s">
        <v>308</v>
      </c>
      <c r="C138" s="10" t="s">
        <v>12</v>
      </c>
      <c r="D138" s="10" t="s">
        <v>19</v>
      </c>
      <c r="E138" s="10" t="s">
        <v>309</v>
      </c>
      <c r="F138" s="10" t="s">
        <v>121</v>
      </c>
      <c r="G138" s="10"/>
      <c r="H138" s="10" t="s">
        <v>134</v>
      </c>
      <c r="I138" s="11" t="s">
        <v>7</v>
      </c>
      <c r="J138" s="12"/>
    </row>
    <row r="139" spans="1:10" x14ac:dyDescent="0.25">
      <c r="A139" s="10">
        <v>135</v>
      </c>
      <c r="B139" s="10" t="s">
        <v>310</v>
      </c>
      <c r="C139" s="10" t="s">
        <v>12</v>
      </c>
      <c r="D139" s="10" t="s">
        <v>19</v>
      </c>
      <c r="E139" s="10" t="s">
        <v>311</v>
      </c>
      <c r="F139" s="10" t="s">
        <v>121</v>
      </c>
      <c r="G139" s="10"/>
      <c r="H139" s="10" t="s">
        <v>134</v>
      </c>
      <c r="I139" s="11" t="s">
        <v>7</v>
      </c>
      <c r="J139" s="12"/>
    </row>
    <row r="140" spans="1:10" x14ac:dyDescent="0.25">
      <c r="A140" s="10">
        <v>136</v>
      </c>
      <c r="B140" s="10" t="s">
        <v>312</v>
      </c>
      <c r="C140" s="10" t="s">
        <v>12</v>
      </c>
      <c r="D140" s="10" t="s">
        <v>19</v>
      </c>
      <c r="E140" s="10" t="s">
        <v>313</v>
      </c>
      <c r="F140" s="10" t="s">
        <v>121</v>
      </c>
      <c r="G140" s="10"/>
      <c r="H140" s="10" t="s">
        <v>134</v>
      </c>
      <c r="I140" s="11" t="s">
        <v>7</v>
      </c>
      <c r="J140" s="12"/>
    </row>
    <row r="141" spans="1:10" ht="25.5" x14ac:dyDescent="0.25">
      <c r="A141" s="10">
        <v>137</v>
      </c>
      <c r="B141" s="10" t="s">
        <v>314</v>
      </c>
      <c r="C141" s="10" t="s">
        <v>12</v>
      </c>
      <c r="D141" s="10" t="s">
        <v>20</v>
      </c>
      <c r="E141" s="10" t="s">
        <v>315</v>
      </c>
      <c r="F141" s="10" t="s">
        <v>121</v>
      </c>
      <c r="G141" s="13" t="s">
        <v>51</v>
      </c>
      <c r="H141" s="10" t="s">
        <v>134</v>
      </c>
      <c r="I141" s="11" t="s">
        <v>7</v>
      </c>
      <c r="J141" s="12"/>
    </row>
    <row r="142" spans="1:10" x14ac:dyDescent="0.25">
      <c r="A142" s="10">
        <v>138</v>
      </c>
      <c r="B142" s="10" t="s">
        <v>316</v>
      </c>
      <c r="C142" s="10" t="s">
        <v>13</v>
      </c>
      <c r="D142" s="10" t="s">
        <v>16</v>
      </c>
      <c r="E142" s="10" t="s">
        <v>317</v>
      </c>
      <c r="F142" s="10" t="s">
        <v>121</v>
      </c>
      <c r="G142" s="10"/>
      <c r="H142" s="10" t="s">
        <v>134</v>
      </c>
      <c r="I142" s="11" t="s">
        <v>7</v>
      </c>
      <c r="J142" s="12"/>
    </row>
    <row r="143" spans="1:10" ht="25.5" x14ac:dyDescent="0.25">
      <c r="A143" s="10">
        <v>139</v>
      </c>
      <c r="B143" s="10" t="s">
        <v>318</v>
      </c>
      <c r="C143" s="10" t="s">
        <v>13</v>
      </c>
      <c r="D143" s="10" t="s">
        <v>16</v>
      </c>
      <c r="E143" s="10" t="s">
        <v>319</v>
      </c>
      <c r="F143" s="10" t="s">
        <v>121</v>
      </c>
      <c r="G143" s="10"/>
      <c r="H143" s="10" t="s">
        <v>134</v>
      </c>
      <c r="I143" s="11" t="s">
        <v>7</v>
      </c>
      <c r="J143" s="12"/>
    </row>
    <row r="144" spans="1:10" ht="25.5" x14ac:dyDescent="0.25">
      <c r="A144" s="10">
        <v>140</v>
      </c>
      <c r="B144" s="10" t="s">
        <v>320</v>
      </c>
      <c r="C144" s="10" t="s">
        <v>13</v>
      </c>
      <c r="D144" s="10" t="s">
        <v>16</v>
      </c>
      <c r="E144" s="10" t="s">
        <v>321</v>
      </c>
      <c r="F144" s="10" t="s">
        <v>121</v>
      </c>
      <c r="G144" s="10"/>
      <c r="H144" s="10" t="s">
        <v>134</v>
      </c>
      <c r="I144" s="11" t="s">
        <v>7</v>
      </c>
      <c r="J144" s="12"/>
    </row>
    <row r="145" spans="1:10" x14ac:dyDescent="0.25">
      <c r="A145" s="10">
        <v>141</v>
      </c>
      <c r="B145" s="10" t="s">
        <v>322</v>
      </c>
      <c r="C145" s="10" t="s">
        <v>13</v>
      </c>
      <c r="D145" s="10" t="s">
        <v>16</v>
      </c>
      <c r="E145" s="10" t="s">
        <v>323</v>
      </c>
      <c r="F145" s="10" t="s">
        <v>173</v>
      </c>
      <c r="G145" s="10"/>
      <c r="H145" s="10" t="s">
        <v>134</v>
      </c>
      <c r="I145" s="11" t="s">
        <v>7</v>
      </c>
      <c r="J145" s="12"/>
    </row>
    <row r="146" spans="1:10" ht="25.5" x14ac:dyDescent="0.25">
      <c r="A146" s="10">
        <v>142</v>
      </c>
      <c r="B146" s="10" t="s">
        <v>324</v>
      </c>
      <c r="C146" s="10" t="s">
        <v>13</v>
      </c>
      <c r="D146" s="10" t="s">
        <v>17</v>
      </c>
      <c r="E146" s="10" t="s">
        <v>325</v>
      </c>
      <c r="F146" s="10" t="s">
        <v>152</v>
      </c>
      <c r="G146" s="10"/>
      <c r="H146" s="10" t="s">
        <v>134</v>
      </c>
      <c r="I146" s="11" t="s">
        <v>7</v>
      </c>
      <c r="J146" s="12"/>
    </row>
    <row r="147" spans="1:10" x14ac:dyDescent="0.25">
      <c r="A147" s="10">
        <v>143</v>
      </c>
      <c r="B147" s="10" t="s">
        <v>326</v>
      </c>
      <c r="C147" s="10" t="s">
        <v>13</v>
      </c>
      <c r="D147" s="10" t="s">
        <v>17</v>
      </c>
      <c r="E147" s="10" t="s">
        <v>327</v>
      </c>
      <c r="F147" s="10" t="s">
        <v>121</v>
      </c>
      <c r="G147" s="10"/>
      <c r="H147" s="10" t="s">
        <v>134</v>
      </c>
      <c r="I147" s="11" t="s">
        <v>7</v>
      </c>
      <c r="J147" s="12"/>
    </row>
    <row r="148" spans="1:10" x14ac:dyDescent="0.25">
      <c r="A148" s="10">
        <v>144</v>
      </c>
      <c r="B148" s="10" t="s">
        <v>328</v>
      </c>
      <c r="C148" s="10" t="s">
        <v>13</v>
      </c>
      <c r="D148" s="10" t="s">
        <v>17</v>
      </c>
      <c r="E148" s="10" t="s">
        <v>329</v>
      </c>
      <c r="F148" s="10" t="s">
        <v>121</v>
      </c>
      <c r="G148" s="10"/>
      <c r="H148" s="10" t="s">
        <v>134</v>
      </c>
      <c r="I148" s="11" t="s">
        <v>7</v>
      </c>
      <c r="J148" s="12"/>
    </row>
    <row r="149" spans="1:10" ht="25.5" x14ac:dyDescent="0.25">
      <c r="A149" s="10">
        <v>145</v>
      </c>
      <c r="B149" s="10" t="s">
        <v>330</v>
      </c>
      <c r="C149" s="10" t="s">
        <v>13</v>
      </c>
      <c r="D149" s="10" t="s">
        <v>17</v>
      </c>
      <c r="E149" s="10" t="s">
        <v>331</v>
      </c>
      <c r="F149" s="10" t="s">
        <v>173</v>
      </c>
      <c r="G149" s="10"/>
      <c r="H149" s="10" t="s">
        <v>134</v>
      </c>
      <c r="I149" s="11" t="s">
        <v>7</v>
      </c>
      <c r="J149" s="12"/>
    </row>
    <row r="150" spans="1:10" ht="25.5" x14ac:dyDescent="0.25">
      <c r="A150" s="10">
        <v>146</v>
      </c>
      <c r="B150" s="10" t="s">
        <v>332</v>
      </c>
      <c r="C150" s="10" t="s">
        <v>13</v>
      </c>
      <c r="D150" s="10" t="s">
        <v>17</v>
      </c>
      <c r="E150" s="10" t="s">
        <v>333</v>
      </c>
      <c r="F150" s="10" t="s">
        <v>121</v>
      </c>
      <c r="G150" s="10"/>
      <c r="H150" s="10" t="s">
        <v>134</v>
      </c>
      <c r="I150" s="11" t="s">
        <v>7</v>
      </c>
      <c r="J150" s="12"/>
    </row>
    <row r="151" spans="1:10" x14ac:dyDescent="0.25">
      <c r="A151" s="10">
        <v>147</v>
      </c>
      <c r="B151" s="10" t="s">
        <v>334</v>
      </c>
      <c r="C151" s="10" t="s">
        <v>13</v>
      </c>
      <c r="D151" s="10" t="s">
        <v>17</v>
      </c>
      <c r="E151" s="10" t="s">
        <v>335</v>
      </c>
      <c r="F151" s="10" t="s">
        <v>152</v>
      </c>
      <c r="G151" s="10"/>
      <c r="H151" s="10" t="s">
        <v>134</v>
      </c>
      <c r="I151" s="11" t="s">
        <v>7</v>
      </c>
      <c r="J151" s="12"/>
    </row>
    <row r="152" spans="1:10" x14ac:dyDescent="0.25">
      <c r="A152" s="10">
        <v>148</v>
      </c>
      <c r="B152" s="10" t="s">
        <v>336</v>
      </c>
      <c r="C152" s="10" t="s">
        <v>13</v>
      </c>
      <c r="D152" s="10" t="s">
        <v>18</v>
      </c>
      <c r="E152" s="10" t="s">
        <v>337</v>
      </c>
      <c r="F152" s="10" t="s">
        <v>121</v>
      </c>
      <c r="G152" s="10"/>
      <c r="H152" s="10" t="s">
        <v>134</v>
      </c>
      <c r="I152" s="11" t="s">
        <v>7</v>
      </c>
      <c r="J152" s="12"/>
    </row>
    <row r="153" spans="1:10" ht="25.5" x14ac:dyDescent="0.25">
      <c r="A153" s="10">
        <v>149</v>
      </c>
      <c r="B153" s="10" t="s">
        <v>338</v>
      </c>
      <c r="C153" s="10" t="s">
        <v>13</v>
      </c>
      <c r="D153" s="10" t="s">
        <v>18</v>
      </c>
      <c r="E153" s="10" t="s">
        <v>339</v>
      </c>
      <c r="F153" s="10" t="s">
        <v>137</v>
      </c>
      <c r="G153" s="10"/>
      <c r="H153" s="10" t="s">
        <v>134</v>
      </c>
      <c r="I153" s="11" t="s">
        <v>7</v>
      </c>
      <c r="J153" s="12"/>
    </row>
    <row r="154" spans="1:10" x14ac:dyDescent="0.25">
      <c r="A154" s="10">
        <v>150</v>
      </c>
      <c r="B154" s="10" t="s">
        <v>340</v>
      </c>
      <c r="C154" s="10" t="s">
        <v>13</v>
      </c>
      <c r="D154" s="10" t="s">
        <v>18</v>
      </c>
      <c r="E154" s="10" t="s">
        <v>341</v>
      </c>
      <c r="F154" s="10" t="s">
        <v>121</v>
      </c>
      <c r="G154" s="10"/>
      <c r="H154" s="10" t="s">
        <v>134</v>
      </c>
      <c r="I154" s="11" t="s">
        <v>7</v>
      </c>
      <c r="J154" s="12"/>
    </row>
    <row r="155" spans="1:10" ht="25.5" x14ac:dyDescent="0.25">
      <c r="A155" s="10">
        <v>151</v>
      </c>
      <c r="B155" s="10" t="s">
        <v>342</v>
      </c>
      <c r="C155" s="10" t="s">
        <v>13</v>
      </c>
      <c r="D155" s="10" t="s">
        <v>18</v>
      </c>
      <c r="E155" s="10" t="s">
        <v>343</v>
      </c>
      <c r="F155" s="10" t="s">
        <v>121</v>
      </c>
      <c r="G155" s="10"/>
      <c r="H155" s="10" t="s">
        <v>134</v>
      </c>
      <c r="I155" s="11" t="s">
        <v>7</v>
      </c>
      <c r="J155" s="12"/>
    </row>
    <row r="156" spans="1:10" ht="25.5" x14ac:dyDescent="0.25">
      <c r="A156" s="10">
        <v>152</v>
      </c>
      <c r="B156" s="10" t="s">
        <v>344</v>
      </c>
      <c r="C156" s="10" t="s">
        <v>13</v>
      </c>
      <c r="D156" s="10" t="s">
        <v>18</v>
      </c>
      <c r="E156" s="10" t="s">
        <v>345</v>
      </c>
      <c r="F156" s="10" t="s">
        <v>121</v>
      </c>
      <c r="G156" s="10"/>
      <c r="H156" s="10" t="s">
        <v>134</v>
      </c>
      <c r="I156" s="11" t="s">
        <v>7</v>
      </c>
      <c r="J156" s="12"/>
    </row>
    <row r="157" spans="1:10" x14ac:dyDescent="0.25">
      <c r="A157" s="10">
        <v>153</v>
      </c>
      <c r="B157" s="10" t="s">
        <v>346</v>
      </c>
      <c r="C157" s="10" t="s">
        <v>13</v>
      </c>
      <c r="D157" s="10" t="s">
        <v>19</v>
      </c>
      <c r="E157" s="10" t="s">
        <v>347</v>
      </c>
      <c r="F157" s="10" t="s">
        <v>121</v>
      </c>
      <c r="G157" s="13" t="s">
        <v>51</v>
      </c>
      <c r="H157" s="10" t="s">
        <v>134</v>
      </c>
      <c r="I157" s="11" t="s">
        <v>7</v>
      </c>
      <c r="J157" s="12"/>
    </row>
    <row r="158" spans="1:10" ht="25.5" x14ac:dyDescent="0.25">
      <c r="A158" s="10">
        <v>154</v>
      </c>
      <c r="B158" s="10" t="s">
        <v>348</v>
      </c>
      <c r="C158" s="10" t="s">
        <v>13</v>
      </c>
      <c r="D158" s="10" t="s">
        <v>19</v>
      </c>
      <c r="E158" s="10" t="s">
        <v>349</v>
      </c>
      <c r="F158" s="10" t="s">
        <v>121</v>
      </c>
      <c r="G158" s="10"/>
      <c r="H158" s="10" t="s">
        <v>134</v>
      </c>
      <c r="I158" s="11" t="s">
        <v>7</v>
      </c>
      <c r="J158" s="12"/>
    </row>
    <row r="159" spans="1:10" ht="25.5" x14ac:dyDescent="0.25">
      <c r="A159" s="10">
        <v>155</v>
      </c>
      <c r="B159" s="10" t="s">
        <v>350</v>
      </c>
      <c r="C159" s="10" t="s">
        <v>13</v>
      </c>
      <c r="D159" s="10" t="s">
        <v>20</v>
      </c>
      <c r="E159" s="10" t="s">
        <v>351</v>
      </c>
      <c r="F159" s="10" t="s">
        <v>121</v>
      </c>
      <c r="G159" s="13" t="s">
        <v>51</v>
      </c>
      <c r="H159" s="10" t="s">
        <v>134</v>
      </c>
      <c r="I159" s="11" t="s">
        <v>7</v>
      </c>
      <c r="J159" s="12"/>
    </row>
  </sheetData>
  <autoFilter ref="A4:J159"/>
  <mergeCells count="1">
    <mergeCell ref="A2:J2"/>
  </mergeCells>
  <conditionalFormatting sqref="I5:I159">
    <cfRule type="expression" dxfId="2" priority="2">
      <formula>$I5="Aprobada"</formula>
    </cfRule>
    <cfRule type="expression" dxfId="1" priority="3">
      <formula>$I5="Ajustar"</formula>
    </cfRule>
    <cfRule type="expression" dxfId="0" priority="4">
      <formula>$I5="Rechazada"</formula>
    </cfRule>
  </conditionalFormatting>
  <dataValidations count="1">
    <dataValidation type="list" allowBlank="1" sqref="I5:I159">
      <formula1>"Pendiente,Aprobada,Ajustar,Rechazada"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zoomScaleNormal="100" workbookViewId="0"/>
  </sheetViews>
  <sheetFormatPr baseColWidth="10" defaultColWidth="8.7109375" defaultRowHeight="15" x14ac:dyDescent="0.25"/>
  <cols>
    <col min="1" max="1" width="24" customWidth="1"/>
    <col min="2" max="2" width="50" customWidth="1"/>
    <col min="3" max="3" width="70" customWidth="1"/>
  </cols>
  <sheetData>
    <row r="1" spans="1:3" ht="18" x14ac:dyDescent="0.25">
      <c r="A1" s="2" t="s">
        <v>352</v>
      </c>
    </row>
    <row r="3" spans="1:3" x14ac:dyDescent="0.25">
      <c r="A3" s="4" t="s">
        <v>25</v>
      </c>
      <c r="B3" s="4" t="s">
        <v>353</v>
      </c>
      <c r="C3" s="4" t="s">
        <v>354</v>
      </c>
    </row>
    <row r="4" spans="1:3" ht="25.5" x14ac:dyDescent="0.25">
      <c r="A4" s="15" t="s">
        <v>355</v>
      </c>
      <c r="B4" s="10" t="s">
        <v>356</v>
      </c>
      <c r="C4" s="10" t="s">
        <v>357</v>
      </c>
    </row>
    <row r="5" spans="1:3" ht="25.5" x14ac:dyDescent="0.25">
      <c r="A5" s="15" t="s">
        <v>358</v>
      </c>
      <c r="B5" s="10" t="s">
        <v>359</v>
      </c>
      <c r="C5" s="10" t="s">
        <v>360</v>
      </c>
    </row>
    <row r="6" spans="1:3" x14ac:dyDescent="0.25">
      <c r="A6" s="15" t="s">
        <v>361</v>
      </c>
      <c r="B6" s="10" t="s">
        <v>362</v>
      </c>
      <c r="C6" s="10" t="s">
        <v>363</v>
      </c>
    </row>
    <row r="7" spans="1:3" ht="25.5" x14ac:dyDescent="0.25">
      <c r="A7" s="15" t="s">
        <v>364</v>
      </c>
      <c r="B7" s="10" t="s">
        <v>365</v>
      </c>
      <c r="C7" s="10" t="s">
        <v>366</v>
      </c>
    </row>
    <row r="8" spans="1:3" x14ac:dyDescent="0.25">
      <c r="A8" s="15" t="s">
        <v>367</v>
      </c>
      <c r="B8" s="10" t="s">
        <v>368</v>
      </c>
      <c r="C8" s="10" t="s">
        <v>369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Reliquias</vt:lpstr>
      <vt:lpstr>Reglas de equilibrio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2026-10-17T20:49:52Z</dcterms:created>
  <dcterms:modified xsi:type="dcterms:W3CDTF">2026-10-18T02:14:24Z</dcterms:modified>
  <dc:language>en-US</dc:language>
</cp:coreProperties>
</file>
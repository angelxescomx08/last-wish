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rtas nuevas" sheetId="2" state="visible" r:id="rId4"/>
    <sheet name="Cartas actuales" sheetId="3" state="visible" r:id="rId5"/>
    <sheet name="Mecánicas" sheetId="4" state="visible" r:id="rId6"/>
    <sheet name="Reliquias" sheetId="5" state="visible" r:id="rId7"/>
  </sheets>
  <definedNames>
    <definedName function="false" hidden="true" localSheetId="2" name="_xlnm._FilterDatabase" vbProcedure="false">'Cartas actuales'!$A$4:$I$16</definedName>
    <definedName function="false" hidden="true" localSheetId="1" name="_xlnm._FilterDatabase" vbProcedure="false">'Cartas nuevas'!$A$4:$M$40</definedName>
    <definedName function="false" hidden="true" localSheetId="3" name="_xlnm._FilterDatabase" vbProcedure="false">Mecánicas!$A$4:$G$9</definedName>
    <definedName function="false" hidden="true" localSheetId="4" name="_xlnm._FilterDatabase" vbProcedure="false">Reliquias!$A$4:$F$11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<sst xmlns="http://schemas.openxmlformats.org/spreadsheetml/2006/main" count="463" uniqueCount="239">
  <si>
    <t xml:space="preserve">Revisión del set de la Guerrera</t>
  </si>
  <si>
    <t xml:space="preserve">Se actualiza solo al cambiar los desplegables de Estado en cada hoja.</t>
  </si>
  <si>
    <t xml:space="preserve">Hoja</t>
  </si>
  <si>
    <t xml:space="preserve">Total</t>
  </si>
  <si>
    <t xml:space="preserve">Pendiente</t>
  </si>
  <si>
    <t xml:space="preserve">Aprobada</t>
  </si>
  <si>
    <t xml:space="preserve">Ajustar</t>
  </si>
  <si>
    <t xml:space="preserve">Rechazada</t>
  </si>
  <si>
    <t xml:space="preserve">Cartas nuevas</t>
  </si>
  <si>
    <t xml:space="preserve">Cartas actuales</t>
  </si>
  <si>
    <t xml:space="preserve">Mecánicas</t>
  </si>
  <si>
    <t xml:space="preserve">Reliquias</t>
  </si>
  <si>
    <t xml:space="preserve">Cartas nuevas por eje</t>
  </si>
  <si>
    <t xml:space="preserve">Eje</t>
  </si>
  <si>
    <t xml:space="preserve">Cartas</t>
  </si>
  <si>
    <t xml:space="preserve">Aprobadas</t>
  </si>
  <si>
    <t xml:space="preserve">Autodaño</t>
  </si>
  <si>
    <t xml:space="preserve">Curación</t>
  </si>
  <si>
    <t xml:space="preserve">Escudo</t>
  </si>
  <si>
    <t xml:space="preserve">Fuerza</t>
  </si>
  <si>
    <t xml:space="preserve">Cartas propuestas — La Guerrera</t>
  </si>
  <si>
    <t xml:space="preserve">Rellena las celdas amarillas: Estado (desplegable: Pendiente / Aprobada / Ajustar / Rechazada) y Comentarios. Regla de equilibrio: las cartas que te hacen perder vida dan ~30-60 % más que la carta base del mismo coste (columna Referencia).</t>
  </si>
  <si>
    <t xml:space="preserve">#</t>
  </si>
  <si>
    <t xml:space="preserve">Carta</t>
  </si>
  <si>
    <t xml:space="preserve">Tipo</t>
  </si>
  <si>
    <t xml:space="preserve">Coste</t>
  </si>
  <si>
    <t xml:space="preserve">Rareza</t>
  </si>
  <si>
    <t xml:space="preserve">Efecto</t>
  </si>
  <si>
    <t xml:space="preserve">Palabra clave</t>
  </si>
  <si>
    <t xml:space="preserve">Efecto de la palabra clave</t>
  </si>
  <si>
    <t xml:space="preserve">Vida perdida</t>
  </si>
  <si>
    <t xml:space="preserve">Referencia de equilibrio</t>
  </si>
  <si>
    <t xml:space="preserve">Estado</t>
  </si>
  <si>
    <t xml:space="preserve">Comentarios</t>
  </si>
  <si>
    <t xml:space="preserve">Corte Sangriento</t>
  </si>
  <si>
    <t xml:space="preserve">Ataque</t>
  </si>
  <si>
    <t xml:space="preserve">Común</t>
  </si>
  <si>
    <t xml:space="preserve">Pierdes 3 de vida. 13 de daño.</t>
  </si>
  <si>
    <t xml:space="preserve">Golpe Férreo (1): 9 de daño → +4 por el autodaño</t>
  </si>
  <si>
    <t xml:space="preserve">Tajo Brutal</t>
  </si>
  <si>
    <t xml:space="preserve">8 de daño.</t>
  </si>
  <si>
    <t xml:space="preserve">Furia</t>
  </si>
  <si>
    <t xml:space="preserve">+5 de daño</t>
  </si>
  <si>
    <t xml:space="preserve">Base 1 maná ≈ 9; con Furia 13</t>
  </si>
  <si>
    <t xml:space="preserve">Golpe de Escudo</t>
  </si>
  <si>
    <t xml:space="preserve">Inflige daño igual a tu escudo actual.</t>
  </si>
  <si>
    <t xml:space="preserve">Conecta el escudo con el ataque</t>
  </si>
  <si>
    <t xml:space="preserve">Embate Firme</t>
  </si>
  <si>
    <t xml:space="preserve">12 de daño.</t>
  </si>
  <si>
    <t xml:space="preserve">Aguante</t>
  </si>
  <si>
    <t xml:space="preserve">+6 de daño</t>
  </si>
  <si>
    <t xml:space="preserve">Base 2 maná ≈ 14-16; con Aguante 18</t>
  </si>
  <si>
    <t xml:space="preserve">Golpe Doble</t>
  </si>
  <si>
    <t xml:space="preserve">5 de daño dos veces.</t>
  </si>
  <si>
    <t xml:space="preserve">La Fuerza se aplica en cada golpe</t>
  </si>
  <si>
    <t xml:space="preserve">Puño de Hierro</t>
  </si>
  <si>
    <t xml:space="preserve">Poco común</t>
  </si>
  <si>
    <t xml:space="preserve">6 de daño. +1 de Fuerza.</t>
  </si>
  <si>
    <t xml:space="preserve">Paga 3 de daño por 1 de Fuerza permanente</t>
  </si>
  <si>
    <t xml:space="preserve">Sed de Batalla</t>
  </si>
  <si>
    <t xml:space="preserve">10 de daño. Te curas lo que inflijas a la vida del enemigo.</t>
  </si>
  <si>
    <t xml:space="preserve">Robo de vida: el daño absorbido por escudo no cura</t>
  </si>
  <si>
    <t xml:space="preserve">Hachazo Temerario</t>
  </si>
  <si>
    <t xml:space="preserve">Pierdes 5 de vida. 24 de daño.</t>
  </si>
  <si>
    <t xml:space="preserve">Base 2 maná ≈ 15 → +9 por el autodaño</t>
  </si>
  <si>
    <t xml:space="preserve">Torbellino de Acero</t>
  </si>
  <si>
    <t xml:space="preserve">7 de daño a todos los enemigos.</t>
  </si>
  <si>
    <t xml:space="preserve">Te curas 3 por cada enemigo golpeado</t>
  </si>
  <si>
    <t xml:space="preserve">Golpe Total (2): 10 a todos; aquí menos daño a cambio de curación</t>
  </si>
  <si>
    <t xml:space="preserve">Represalia</t>
  </si>
  <si>
    <t xml:space="preserve">Rara</t>
  </si>
  <si>
    <t xml:space="preserve">Inflige el doble de la vida que perdiste este turno.</t>
  </si>
  <si>
    <t xml:space="preserve">Escala con autodaño y con golpes enemigos</t>
  </si>
  <si>
    <t xml:space="preserve">Sacrificio</t>
  </si>
  <si>
    <t xml:space="preserve">Pierdes 6 de vida. 16 de daño.</t>
  </si>
  <si>
    <t xml:space="preserve">Robas 1 carta</t>
  </si>
  <si>
    <t xml:space="preserve">0 maná: ≈ un ataque de 2 maná gratis</t>
  </si>
  <si>
    <t xml:space="preserve">Martillo Sísmico</t>
  </si>
  <si>
    <t xml:space="preserve">18 de daño a todos los enemigos.</t>
  </si>
  <si>
    <t xml:space="preserve">+2 de Fuerza</t>
  </si>
  <si>
    <t xml:space="preserve">Ataque en área caro con recompensa de Fuerza</t>
  </si>
  <si>
    <t xml:space="preserve">Furia Desatada</t>
  </si>
  <si>
    <t xml:space="preserve">Épica</t>
  </si>
  <si>
    <t xml:space="preserve">4 de daño 4 veces.</t>
  </si>
  <si>
    <t xml:space="preserve">2 golpes más</t>
  </si>
  <si>
    <t xml:space="preserve">Multigolpe: ideal con mucha Fuerza</t>
  </si>
  <si>
    <t xml:space="preserve">Ira Carmesí</t>
  </si>
  <si>
    <t xml:space="preserve">Pierdes 8 de vida. 40 de daño. Te curas la mitad del daño infligido.</t>
  </si>
  <si>
    <t xml:space="preserve">Ejecución (3): 30 → +10 y curación parcial</t>
  </si>
  <si>
    <t xml:space="preserve">Golpe Vampírico</t>
  </si>
  <si>
    <t xml:space="preserve">Legendaria</t>
  </si>
  <si>
    <t xml:space="preserve">24 de daño. Te curas todo el daño infligido a la vida del enemigo.</t>
  </si>
  <si>
    <t xml:space="preserve">Remate de la mecánica: curación sobrante → escudo</t>
  </si>
  <si>
    <t xml:space="preserve">Herida Abierta</t>
  </si>
  <si>
    <t xml:space="preserve">Habilidad</t>
  </si>
  <si>
    <t xml:space="preserve">Pierdes 3 de vida. Robas 2 cartas.</t>
  </si>
  <si>
    <t xml:space="preserve">Visión (0): roba 2 sin coste → aquí habilita Furia</t>
  </si>
  <si>
    <t xml:space="preserve">Escudo de Sangre</t>
  </si>
  <si>
    <t xml:space="preserve">Pierdes 3 de vida. 14 de escudo.</t>
  </si>
  <si>
    <t xml:space="preserve">Guardia Sólida (1): 8 → +6 por el autodaño</t>
  </si>
  <si>
    <t xml:space="preserve">Postura Firme</t>
  </si>
  <si>
    <t xml:space="preserve">8 de escudo.</t>
  </si>
  <si>
    <t xml:space="preserve">+5 de escudo</t>
  </si>
  <si>
    <t xml:space="preserve">Igual a Guardia Sólida; con Furia 13</t>
  </si>
  <si>
    <t xml:space="preserve">Vendaje</t>
  </si>
  <si>
    <t xml:space="preserve">Te curas 5.</t>
  </si>
  <si>
    <t xml:space="preserve">Te curas 4 más</t>
  </si>
  <si>
    <t xml:space="preserve">Curación básica</t>
  </si>
  <si>
    <t xml:space="preserve">Muro de Acero</t>
  </si>
  <si>
    <t xml:space="preserve">14 de escudo.</t>
  </si>
  <si>
    <t xml:space="preserve">+1 de Fuerza</t>
  </si>
  <si>
    <t xml:space="preserve">Fortaleza (2): 14 + recompensa de Fuerza</t>
  </si>
  <si>
    <t xml:space="preserve">Rugido</t>
  </si>
  <si>
    <t xml:space="preserve">+1 de Fuerza.</t>
  </si>
  <si>
    <t xml:space="preserve">+2 de Fuerza más</t>
  </si>
  <si>
    <t xml:space="preserve">Fuerza permanente para el combate</t>
  </si>
  <si>
    <t xml:space="preserve">Sangría</t>
  </si>
  <si>
    <t xml:space="preserve">Pierdes 4 de vida. +3 de Fuerza.</t>
  </si>
  <si>
    <t xml:space="preserve">Rugido sin Furia da 1 → autodaño da 3</t>
  </si>
  <si>
    <t xml:space="preserve">Respiro</t>
  </si>
  <si>
    <t xml:space="preserve">Te curas 7. 8 de escudo.</t>
  </si>
  <si>
    <t xml:space="preserve">Mezcla curación y escudo</t>
  </si>
  <si>
    <t xml:space="preserve">Grito de Batalla</t>
  </si>
  <si>
    <t xml:space="preserve">Robas 2 cartas.</t>
  </si>
  <si>
    <t xml:space="preserve">Robo con recompensa por escudo</t>
  </si>
  <si>
    <t xml:space="preserve">Coraza Viva</t>
  </si>
  <si>
    <t xml:space="preserve">Ganas 1 de escudo por cada 2 de vida que te faltan (máx. 30).</t>
  </si>
  <si>
    <t xml:space="preserve">Escala cuanto más herida estás</t>
  </si>
  <si>
    <t xml:space="preserve">Pacto de Hierro</t>
  </si>
  <si>
    <t xml:space="preserve">Pierdes 6 de vida. Ganas 2 de maná.</t>
  </si>
  <si>
    <t xml:space="preserve">Maná a cambio de vida</t>
  </si>
  <si>
    <t xml:space="preserve">Transfusión</t>
  </si>
  <si>
    <t xml:space="preserve">Pierdes todo tu escudo y te curas esa cantidad.</t>
  </si>
  <si>
    <t xml:space="preserve">Inverso de la curación sobrante → escudo</t>
  </si>
  <si>
    <t xml:space="preserve">Doblar Escudo</t>
  </si>
  <si>
    <t xml:space="preserve">Duplica tu escudo actual.</t>
  </si>
  <si>
    <t xml:space="preserve">Remate de mazos de escudo</t>
  </si>
  <si>
    <t xml:space="preserve">Muralla Inquebrantable</t>
  </si>
  <si>
    <t xml:space="preserve">30 de escudo. Tu escudo no se pierde al inicio de tu próximo turno.</t>
  </si>
  <si>
    <t xml:space="preserve">Bastión (3): 30 + persistencia</t>
  </si>
  <si>
    <t xml:space="preserve">Sangre Hirviente</t>
  </si>
  <si>
    <t xml:space="preserve">Poder</t>
  </si>
  <si>
    <t xml:space="preserve">Al inicio de tu turno pierdes 2 de vida y ganas +1 de Fuerza.</t>
  </si>
  <si>
    <t xml:space="preserve">Motor de Fuerza pagado con vida; activa Furia cada turno</t>
  </si>
  <si>
    <t xml:space="preserve">Fortaleza Interior</t>
  </si>
  <si>
    <t xml:space="preserve">Cada vez que te curas, ganas 2 de escudo.</t>
  </si>
  <si>
    <t xml:space="preserve">Une curación y escudo</t>
  </si>
  <si>
    <t xml:space="preserve">Segunda Piel</t>
  </si>
  <si>
    <t xml:space="preserve">Cada vez que pierdes vida, ganas 3 de escudo.</t>
  </si>
  <si>
    <t xml:space="preserve">Recompensa el autodaño con defensa</t>
  </si>
  <si>
    <t xml:space="preserve">Regeneración</t>
  </si>
  <si>
    <t xml:space="preserve">Al inicio de tu turno te curas 3.</t>
  </si>
  <si>
    <t xml:space="preserve">Curación constante</t>
  </si>
  <si>
    <t xml:space="preserve">Piel de Acero</t>
  </si>
  <si>
    <t xml:space="preserve">Al final de tu turno ganas 6 de escudo.</t>
  </si>
  <si>
    <t xml:space="preserve">Escudo gratis cada turno</t>
  </si>
  <si>
    <t xml:space="preserve">Berserker</t>
  </si>
  <si>
    <t xml:space="preserve">Cada vez que pierdes vida, +1 de Fuerza.</t>
  </si>
  <si>
    <t xml:space="preserve">Remate del mazo de autodaño</t>
  </si>
  <si>
    <t xml:space="preserve">Voluntad Inquebrantable</t>
  </si>
  <si>
    <t xml:space="preserve">Tus propias cartas no pueden bajarte de 1 de vida.</t>
  </si>
  <si>
    <t xml:space="preserve">Red de seguridad para mazos de autodaño</t>
  </si>
  <si>
    <t xml:space="preserve">Cartas actuales de la Guerrera — qué hacer con cada una</t>
  </si>
  <si>
    <t xml:space="preserve">Rellena las celdas amarillas (Estado y Comentarios).</t>
  </si>
  <si>
    <t xml:space="preserve">Efecto actual</t>
  </si>
  <si>
    <t xml:space="preserve">Sugerencia</t>
  </si>
  <si>
    <t xml:space="preserve">Motivo</t>
  </si>
  <si>
    <t xml:space="preserve">Golpe Pesado</t>
  </si>
  <si>
    <t xml:space="preserve">16 de daño.</t>
  </si>
  <si>
    <t xml:space="preserve">Mantener</t>
  </si>
  <si>
    <t xml:space="preserve">Ataque básico sólido; se beneficia de la Fuerza</t>
  </si>
  <si>
    <t xml:space="preserve">Gran Golpe</t>
  </si>
  <si>
    <t xml:space="preserve">26 de daño.</t>
  </si>
  <si>
    <t xml:space="preserve">Golpe grande para escalar con Fuerza</t>
  </si>
  <si>
    <t xml:space="preserve">Golpe Total</t>
  </si>
  <si>
    <t xml:space="preserve">10 de daño a todos.</t>
  </si>
  <si>
    <t xml:space="preserve">Área básica de la clase</t>
  </si>
  <si>
    <t xml:space="preserve">Torre</t>
  </si>
  <si>
    <t xml:space="preserve">16 de escudo.</t>
  </si>
  <si>
    <t xml:space="preserve">Encaja con Aguante</t>
  </si>
  <si>
    <t xml:space="preserve">Baluarte</t>
  </si>
  <si>
    <t xml:space="preserve">22 de escudo.</t>
  </si>
  <si>
    <t xml:space="preserve">Añadir Aguante: +1 de Fuerza</t>
  </si>
  <si>
    <t xml:space="preserve">Gran Muralla</t>
  </si>
  <si>
    <t xml:space="preserve">28 de escudo.</t>
  </si>
  <si>
    <t xml:space="preserve">Escudo grande para Golpe de Escudo</t>
  </si>
  <si>
    <t xml:space="preserve">Retribución</t>
  </si>
  <si>
    <t xml:space="preserve">2 de escudo por carta en el descarte.</t>
  </si>
  <si>
    <t xml:space="preserve">Mover a neutral</t>
  </si>
  <si>
    <t xml:space="preserve">No usa ningún eje de la Guerrera</t>
  </si>
  <si>
    <t xml:space="preserve">Grito de Guerra</t>
  </si>
  <si>
    <t xml:space="preserve">+1 de maná por enemigo vivo.</t>
  </si>
  <si>
    <t xml:space="preserve">Sin relación con vida, escudo ni Fuerza</t>
  </si>
  <si>
    <t xml:space="preserve">Conjuro de Combate</t>
  </si>
  <si>
    <t xml:space="preserve">10 de daño + 6 de escudo.</t>
  </si>
  <si>
    <t xml:space="preserve">Mover al Mago</t>
  </si>
  <si>
    <t xml:space="preserve">Nombre y tema de mago</t>
  </si>
  <si>
    <t xml:space="preserve">Escudo Impenetrable</t>
  </si>
  <si>
    <t xml:space="preserve">22 de escudo (legendaria).</t>
  </si>
  <si>
    <t xml:space="preserve">Bajar a épica o añadir Aguante: +2 de Fuerza</t>
  </si>
  <si>
    <t xml:space="preserve">Bastión</t>
  </si>
  <si>
    <t xml:space="preserve">30 de escudo (legendaria).</t>
  </si>
  <si>
    <t xml:space="preserve">Se solapa con Muralla Inquebrantable; elegir una</t>
  </si>
  <si>
    <t xml:space="preserve">Ejecución</t>
  </si>
  <si>
    <t xml:space="preserve">30 de daño (legendaria).</t>
  </si>
  <si>
    <t xml:space="preserve">Añadir: si mata al enemigo, te curas 10</t>
  </si>
  <si>
    <t xml:space="preserve">Mecánicas y palabras clave</t>
  </si>
  <si>
    <t xml:space="preserve">Nombre</t>
  </si>
  <si>
    <t xml:space="preserve">Regla</t>
  </si>
  <si>
    <t xml:space="preserve">Notas de diseño</t>
  </si>
  <si>
    <t xml:space="preserve">Fuerza (héroe)</t>
  </si>
  <si>
    <t xml:space="preserve">Cada golpe de tus ataques inflige +1 de daño por acumulación. Dura todo el combate.</t>
  </si>
  <si>
    <t xml:space="preserve">Reutilizar STRENGTH de entities.py, que hoy solo usan los enemigos</t>
  </si>
  <si>
    <t xml:space="preserve">Perder vida</t>
  </si>
  <si>
    <t xml:space="preserve">La vida que pierdes por tus propias cartas ignora el escudo.</t>
  </si>
  <si>
    <t xml:space="preserve">Si el escudo la absorbiera, el autodaño no tendría coste</t>
  </si>
  <si>
    <t xml:space="preserve">Curación sobrante → escudo</t>
  </si>
  <si>
    <t xml:space="preserve">La curación que supera tu vida máxima se convierte en escudo.</t>
  </si>
  <si>
    <t xml:space="preserve">Une las dos mitades del personaje; ninguna curación se desperdicia</t>
  </si>
  <si>
    <t xml:space="preserve">Efecto extra si ya perdiste vida este turno.</t>
  </si>
  <si>
    <t xml:space="preserve">La vida perdida por la propia carta no cuenta (igual que Combo no cuenta la propia carta). Cuenta tanto el autodaño como los golpes enemigos</t>
  </si>
  <si>
    <t xml:space="preserve">Efecto extra si tienes escudo al jugarla.</t>
  </si>
  <si>
    <t xml:space="preserve">Se comprueba antes de aplicar el escudo de la propia carta</t>
  </si>
  <si>
    <t xml:space="preserve">Reliquias propuestas — La Guerrera</t>
  </si>
  <si>
    <t xml:space="preserve">Reliquia</t>
  </si>
  <si>
    <t xml:space="preserve">Cicatriz</t>
  </si>
  <si>
    <t xml:space="preserve">Empiezas cada combate con +1 de Fuerza.</t>
  </si>
  <si>
    <t xml:space="preserve">Brazal de Guerra</t>
  </si>
  <si>
    <t xml:space="preserve">Al inicio de cada combate ganas 8 de escudo.</t>
  </si>
  <si>
    <t xml:space="preserve">Colmillo de Hierro</t>
  </si>
  <si>
    <t xml:space="preserve">Tu primer ataque de cada turno te cura 2.</t>
  </si>
  <si>
    <t xml:space="preserve">Venda Empapada</t>
  </si>
  <si>
    <t xml:space="preserve">La primera vez que pierdes vida cada turno, robas 1 carta.</t>
  </si>
  <si>
    <t xml:space="preserve">Copa de Sangre</t>
  </si>
  <si>
    <t xml:space="preserve">Todas tus curaciones en combate curan +2.</t>
  </si>
  <si>
    <t xml:space="preserve">Estandarte Desgarrado</t>
  </si>
  <si>
    <t xml:space="preserve">Cada 3 veces que activas Furia, +1 de Fuerza.</t>
  </si>
  <si>
    <t xml:space="preserve">Corazón de Titán</t>
  </si>
  <si>
    <t xml:space="preserve">La curación sobrante se convierte en el doble de escudo.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</si>
</sst>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1F1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COUNTA('Cartas nuevas'!$L$5:$L$40)</f>
        <v>36</v>
      </c>
      <c r="C5" s="5" t="n">
        <f aca="false">COUNTIF('Cartas nuevas'!$L$5:$L$40,"Pendiente")</f>
        <v>36</v>
      </c>
      <c r="D5" s="5" t="n">
        <f aca="false">COUNTIF('Cartas nuevas'!$L$5:$L$40,"Aprobada")</f>
        <v>0</v>
      </c>
      <c r="E5" s="5" t="n">
        <f aca="false">COUNTIF('Cartas nuevas'!$L$5:$L$40,"Ajustar")</f>
        <v>0</v>
      </c>
      <c r="F5" s="5" t="n">
        <f aca="false">COUNTIF('Cartas nuevas'!$L$5:$L$40,"Rechazada")</f>
        <v>0</v>
      </c>
    </row>
    <row r="6" customFormat="false" ht="15" hidden="false" customHeight="false" outlineLevel="0" collapsed="false">
      <c r="A6" s="4" t="s">
        <v>9</v>
      </c>
      <c r="B6" s="5" t="n">
        <f aca="false">COUNTA('Cartas actuales'!$H$5:$H$16)</f>
        <v>12</v>
      </c>
      <c r="C6" s="5" t="n">
        <f aca="false">COUNTIF('Cartas actuales'!$H$5:$H$16,"Pendiente")</f>
        <v>12</v>
      </c>
      <c r="D6" s="5" t="n">
        <f aca="false">COUNTIF('Cartas actuales'!$H$5:$H$16,"Aprobada")</f>
        <v>0</v>
      </c>
      <c r="E6" s="5" t="n">
        <f aca="false">COUNTIF('Cartas actuales'!$H$5:$H$16,"Ajustar")</f>
        <v>0</v>
      </c>
      <c r="F6" s="5" t="n">
        <f aca="false">COUNTIF('Cartas actuales'!$H$5:$H$16,"Rechazada")</f>
        <v>0</v>
      </c>
    </row>
    <row r="7" customFormat="false" ht="15" hidden="false" customHeight="false" outlineLevel="0" collapsed="false">
      <c r="A7" s="4" t="s">
        <v>10</v>
      </c>
      <c r="B7" s="5" t="n">
        <f aca="false">COUNTA(Mecánicas!$F$5:$F$9)</f>
        <v>5</v>
      </c>
      <c r="C7" s="5" t="n">
        <f aca="false">COUNTIF(Mecánicas!$F$5:$F$9,"Pendiente")</f>
        <v>5</v>
      </c>
      <c r="D7" s="5" t="n">
        <f aca="false">COUNTIF(Mecánicas!$F$5:$F$9,"Aprobada")</f>
        <v>0</v>
      </c>
      <c r="E7" s="5" t="n">
        <f aca="false">COUNTIF(Mecánicas!$F$5:$F$9,"Ajustar")</f>
        <v>0</v>
      </c>
      <c r="F7" s="5" t="n">
        <f aca="false">COUNTIF(Mecánicas!$F$5:$F$9,"Rechazada")</f>
        <v>0</v>
      </c>
    </row>
    <row r="8" customFormat="false" ht="15" hidden="false" customHeight="false" outlineLevel="0" collapsed="false">
      <c r="A8" s="4" t="s">
        <v>11</v>
      </c>
      <c r="B8" s="5" t="n">
        <f aca="false">COUNTA(Reliquias!$E$5:$E$11)</f>
        <v>7</v>
      </c>
      <c r="C8" s="5" t="n">
        <f aca="false">COUNTIF(Reliquias!$E$5:$E$11,"Pendiente")</f>
        <v>7</v>
      </c>
      <c r="D8" s="5" t="n">
        <f aca="false">COUNTIF(Reliquias!$E$5:$E$11,"Aprobada")</f>
        <v>0</v>
      </c>
      <c r="E8" s="5" t="n">
        <f aca="false">COUNTIF(Reliquias!$E$5:$E$11,"Ajustar")</f>
        <v>0</v>
      </c>
      <c r="F8" s="5" t="n">
        <f aca="false">COUNTIF(Reliquias!$E$5:$E$11,"Rechazada")</f>
        <v>0</v>
      </c>
    </row>
    <row r="9" customFormat="false" ht="15" hidden="false" customHeight="false" outlineLevel="0" collapsed="false">
      <c r="A9" s="6" t="s">
        <v>3</v>
      </c>
      <c r="B9" s="7" t="n">
        <f aca="false">SUM(B5:B8)</f>
        <v>60</v>
      </c>
      <c r="C9" s="7" t="n">
        <f aca="false">SUM(C5:C8)</f>
        <v>60</v>
      </c>
      <c r="D9" s="7" t="n">
        <f aca="false">SUM(D5:D8)</f>
        <v>0</v>
      </c>
      <c r="E9" s="7" t="n">
        <f aca="false">SUM(E5:E8)</f>
        <v>0</v>
      </c>
      <c r="F9" s="7" t="n">
        <f aca="false">SUM(F5:F8)</f>
        <v>0</v>
      </c>
    </row>
    <row r="11" customFormat="false" ht="15" hidden="false" customHeight="false" outlineLevel="0" collapsed="false">
      <c r="A11" s="8" t="s">
        <v>12</v>
      </c>
    </row>
    <row r="12" customFormat="false" ht="15" hidden="false" customHeight="false" outlineLevel="0" collapsed="false">
      <c r="A12" s="9" t="s">
        <v>13</v>
      </c>
      <c r="B12" s="9" t="s">
        <v>14</v>
      </c>
      <c r="C12" s="9" t="s">
        <v>15</v>
      </c>
    </row>
    <row r="13" customFormat="false" ht="15" hidden="false" customHeight="false" outlineLevel="0" collapsed="false">
      <c r="A13" s="4" t="s">
        <v>16</v>
      </c>
      <c r="B13" s="4" t="n">
        <f aca="false">COUNTIF('Cartas nuevas'!$J$5:$J$40,A13)</f>
        <v>13</v>
      </c>
      <c r="C13" s="4" t="n">
        <f aca="false">COUNTIFS('Cartas nuevas'!$J$5:$J$40,A13,'Cartas nuevas'!$L$5:$L$40,"Aprobada")</f>
        <v>0</v>
      </c>
    </row>
    <row r="14" customFormat="false" ht="15" hidden="false" customHeight="false" outlineLevel="0" collapsed="false">
      <c r="A14" s="4" t="s">
        <v>17</v>
      </c>
      <c r="B14" s="4" t="n">
        <f aca="false">COUNTIF('Cartas nuevas'!$J$5:$J$40,A14)</f>
        <v>8</v>
      </c>
      <c r="C14" s="4" t="n">
        <f aca="false">COUNTIFS('Cartas nuevas'!$J$5:$J$40,A14,'Cartas nuevas'!$L$5:$L$40,"Aprobada")</f>
        <v>0</v>
      </c>
    </row>
    <row r="15" customFormat="false" ht="15" hidden="false" customHeight="false" outlineLevel="0" collapsed="false">
      <c r="A15" s="4" t="s">
        <v>18</v>
      </c>
      <c r="B15" s="4" t="n">
        <f aca="false">COUNTIF('Cartas nuevas'!$J$5:$J$40,A15)</f>
        <v>9</v>
      </c>
      <c r="C15" s="4" t="n">
        <f aca="false">COUNTIFS('Cartas nuevas'!$J$5:$J$40,A15,'Cartas nuevas'!$L$5:$L$40,"Aprobada")</f>
        <v>0</v>
      </c>
    </row>
    <row r="16" customFormat="false" ht="15" hidden="false" customHeight="false" outlineLevel="0" collapsed="false">
      <c r="A16" s="4" t="s">
        <v>19</v>
      </c>
      <c r="B16" s="4" t="n">
        <f aca="false">COUNTIF('Cartas nuevas'!$J$5:$J$40,A16)</f>
        <v>6</v>
      </c>
      <c r="C16" s="4" t="n">
        <f aca="false">COUNTIFS('Cartas nuevas'!$J$5:$J$40,A16,'Cartas nuevas'!$L$5:$L$40,"Aprobada")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3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20</v>
      </c>
    </row>
    <row r="2" customFormat="false" ht="30" hidden="false" customHeight="true" outlineLevel="0" collapsed="false">
      <c r="A2" s="10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customFormat="false" ht="39.55" hidden="false" customHeight="false" outlineLevel="0" collapsed="false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13</v>
      </c>
      <c r="K4" s="11" t="s">
        <v>31</v>
      </c>
      <c r="L4" s="11" t="s">
        <v>32</v>
      </c>
      <c r="M4" s="11" t="s">
        <v>33</v>
      </c>
    </row>
    <row r="5" customFormat="false" ht="23.85" hidden="false" customHeight="false" outlineLevel="0" collapsed="false">
      <c r="A5" s="12" t="n">
        <v>1</v>
      </c>
      <c r="B5" s="12" t="s">
        <v>34</v>
      </c>
      <c r="C5" s="12" t="s">
        <v>35</v>
      </c>
      <c r="D5" s="13" t="n">
        <v>1</v>
      </c>
      <c r="E5" s="12" t="s">
        <v>36</v>
      </c>
      <c r="F5" s="12" t="s">
        <v>37</v>
      </c>
      <c r="G5" s="12"/>
      <c r="H5" s="12"/>
      <c r="I5" s="14" t="n">
        <v>3</v>
      </c>
      <c r="J5" s="12" t="s">
        <v>16</v>
      </c>
      <c r="K5" s="12" t="s">
        <v>38</v>
      </c>
      <c r="L5" s="15" t="s">
        <v>4</v>
      </c>
      <c r="M5" s="16"/>
    </row>
    <row r="6" customFormat="false" ht="15" hidden="false" customHeight="false" outlineLevel="0" collapsed="false">
      <c r="A6" s="12" t="n">
        <v>2</v>
      </c>
      <c r="B6" s="12" t="s">
        <v>39</v>
      </c>
      <c r="C6" s="12" t="s">
        <v>35</v>
      </c>
      <c r="D6" s="13" t="n">
        <v>1</v>
      </c>
      <c r="E6" s="12" t="s">
        <v>36</v>
      </c>
      <c r="F6" s="12" t="s">
        <v>40</v>
      </c>
      <c r="G6" s="12" t="s">
        <v>41</v>
      </c>
      <c r="H6" s="12" t="s">
        <v>42</v>
      </c>
      <c r="I6" s="13"/>
      <c r="J6" s="12" t="s">
        <v>16</v>
      </c>
      <c r="K6" s="12" t="s">
        <v>43</v>
      </c>
      <c r="L6" s="15" t="s">
        <v>4</v>
      </c>
      <c r="M6" s="16"/>
    </row>
    <row r="7" customFormat="false" ht="15" hidden="false" customHeight="false" outlineLevel="0" collapsed="false">
      <c r="A7" s="12" t="n">
        <v>3</v>
      </c>
      <c r="B7" s="12" t="s">
        <v>44</v>
      </c>
      <c r="C7" s="12" t="s">
        <v>35</v>
      </c>
      <c r="D7" s="13" t="n">
        <v>1</v>
      </c>
      <c r="E7" s="12" t="s">
        <v>36</v>
      </c>
      <c r="F7" s="12" t="s">
        <v>45</v>
      </c>
      <c r="G7" s="12"/>
      <c r="H7" s="12"/>
      <c r="I7" s="13"/>
      <c r="J7" s="12" t="s">
        <v>18</v>
      </c>
      <c r="K7" s="12" t="s">
        <v>46</v>
      </c>
      <c r="L7" s="15" t="s">
        <v>4</v>
      </c>
      <c r="M7" s="16"/>
    </row>
    <row r="8" customFormat="false" ht="15" hidden="false" customHeight="false" outlineLevel="0" collapsed="false">
      <c r="A8" s="12" t="n">
        <v>4</v>
      </c>
      <c r="B8" s="12" t="s">
        <v>47</v>
      </c>
      <c r="C8" s="12" t="s">
        <v>35</v>
      </c>
      <c r="D8" s="13" t="n">
        <v>2</v>
      </c>
      <c r="E8" s="12" t="s">
        <v>36</v>
      </c>
      <c r="F8" s="12" t="s">
        <v>48</v>
      </c>
      <c r="G8" s="12" t="s">
        <v>49</v>
      </c>
      <c r="H8" s="12" t="s">
        <v>50</v>
      </c>
      <c r="I8" s="13"/>
      <c r="J8" s="12" t="s">
        <v>18</v>
      </c>
      <c r="K8" s="12" t="s">
        <v>51</v>
      </c>
      <c r="L8" s="15" t="s">
        <v>4</v>
      </c>
      <c r="M8" s="16"/>
    </row>
    <row r="9" customFormat="false" ht="15" hidden="false" customHeight="false" outlineLevel="0" collapsed="false">
      <c r="A9" s="12" t="n">
        <v>5</v>
      </c>
      <c r="B9" s="12" t="s">
        <v>52</v>
      </c>
      <c r="C9" s="12" t="s">
        <v>35</v>
      </c>
      <c r="D9" s="13" t="n">
        <v>1</v>
      </c>
      <c r="E9" s="12" t="s">
        <v>36</v>
      </c>
      <c r="F9" s="12" t="s">
        <v>53</v>
      </c>
      <c r="G9" s="12"/>
      <c r="H9" s="12"/>
      <c r="I9" s="13"/>
      <c r="J9" s="12" t="s">
        <v>19</v>
      </c>
      <c r="K9" s="12" t="s">
        <v>54</v>
      </c>
      <c r="L9" s="15" t="s">
        <v>4</v>
      </c>
      <c r="M9" s="16"/>
    </row>
    <row r="10" customFormat="false" ht="15" hidden="false" customHeight="false" outlineLevel="0" collapsed="false">
      <c r="A10" s="12" t="n">
        <v>6</v>
      </c>
      <c r="B10" s="12" t="s">
        <v>55</v>
      </c>
      <c r="C10" s="12" t="s">
        <v>35</v>
      </c>
      <c r="D10" s="13" t="n">
        <v>1</v>
      </c>
      <c r="E10" s="12" t="s">
        <v>56</v>
      </c>
      <c r="F10" s="12" t="s">
        <v>57</v>
      </c>
      <c r="G10" s="12"/>
      <c r="H10" s="12"/>
      <c r="I10" s="13"/>
      <c r="J10" s="12" t="s">
        <v>19</v>
      </c>
      <c r="K10" s="12" t="s">
        <v>58</v>
      </c>
      <c r="L10" s="15" t="s">
        <v>4</v>
      </c>
      <c r="M10" s="16"/>
    </row>
    <row r="11" customFormat="false" ht="23.85" hidden="false" customHeight="false" outlineLevel="0" collapsed="false">
      <c r="A11" s="12" t="n">
        <v>7</v>
      </c>
      <c r="B11" s="12" t="s">
        <v>59</v>
      </c>
      <c r="C11" s="12" t="s">
        <v>35</v>
      </c>
      <c r="D11" s="13" t="n">
        <v>2</v>
      </c>
      <c r="E11" s="12" t="s">
        <v>56</v>
      </c>
      <c r="F11" s="12" t="s">
        <v>60</v>
      </c>
      <c r="G11" s="12"/>
      <c r="H11" s="12"/>
      <c r="I11" s="13"/>
      <c r="J11" s="12" t="s">
        <v>17</v>
      </c>
      <c r="K11" s="12" t="s">
        <v>61</v>
      </c>
      <c r="L11" s="15" t="s">
        <v>4</v>
      </c>
      <c r="M11" s="16"/>
    </row>
    <row r="12" customFormat="false" ht="15" hidden="false" customHeight="false" outlineLevel="0" collapsed="false">
      <c r="A12" s="12" t="n">
        <v>8</v>
      </c>
      <c r="B12" s="12" t="s">
        <v>62</v>
      </c>
      <c r="C12" s="12" t="s">
        <v>35</v>
      </c>
      <c r="D12" s="13" t="n">
        <v>2</v>
      </c>
      <c r="E12" s="12" t="s">
        <v>56</v>
      </c>
      <c r="F12" s="12" t="s">
        <v>63</v>
      </c>
      <c r="G12" s="12"/>
      <c r="H12" s="12"/>
      <c r="I12" s="14" t="n">
        <v>5</v>
      </c>
      <c r="J12" s="12" t="s">
        <v>16</v>
      </c>
      <c r="K12" s="12" t="s">
        <v>64</v>
      </c>
      <c r="L12" s="15" t="s">
        <v>4</v>
      </c>
      <c r="M12" s="16"/>
    </row>
    <row r="13" customFormat="false" ht="23.85" hidden="false" customHeight="false" outlineLevel="0" collapsed="false">
      <c r="A13" s="12" t="n">
        <v>9</v>
      </c>
      <c r="B13" s="12" t="s">
        <v>65</v>
      </c>
      <c r="C13" s="12" t="s">
        <v>35</v>
      </c>
      <c r="D13" s="13" t="n">
        <v>2</v>
      </c>
      <c r="E13" s="12" t="s">
        <v>56</v>
      </c>
      <c r="F13" s="12" t="s">
        <v>66</v>
      </c>
      <c r="G13" s="12" t="s">
        <v>41</v>
      </c>
      <c r="H13" s="12" t="s">
        <v>67</v>
      </c>
      <c r="I13" s="13"/>
      <c r="J13" s="12" t="s">
        <v>17</v>
      </c>
      <c r="K13" s="12" t="s">
        <v>68</v>
      </c>
      <c r="L13" s="15" t="s">
        <v>4</v>
      </c>
      <c r="M13" s="16"/>
    </row>
    <row r="14" customFormat="false" ht="15" hidden="false" customHeight="false" outlineLevel="0" collapsed="false">
      <c r="A14" s="12" t="n">
        <v>10</v>
      </c>
      <c r="B14" s="12" t="s">
        <v>69</v>
      </c>
      <c r="C14" s="12" t="s">
        <v>35</v>
      </c>
      <c r="D14" s="13" t="n">
        <v>2</v>
      </c>
      <c r="E14" s="12" t="s">
        <v>70</v>
      </c>
      <c r="F14" s="12" t="s">
        <v>71</v>
      </c>
      <c r="G14" s="12"/>
      <c r="H14" s="12"/>
      <c r="I14" s="13"/>
      <c r="J14" s="12" t="s">
        <v>16</v>
      </c>
      <c r="K14" s="12" t="s">
        <v>72</v>
      </c>
      <c r="L14" s="15" t="s">
        <v>4</v>
      </c>
      <c r="M14" s="16"/>
    </row>
    <row r="15" customFormat="false" ht="15" hidden="false" customHeight="false" outlineLevel="0" collapsed="false">
      <c r="A15" s="12" t="n">
        <v>11</v>
      </c>
      <c r="B15" s="12" t="s">
        <v>73</v>
      </c>
      <c r="C15" s="12" t="s">
        <v>35</v>
      </c>
      <c r="D15" s="13" t="n">
        <v>0</v>
      </c>
      <c r="E15" s="12" t="s">
        <v>70</v>
      </c>
      <c r="F15" s="12" t="s">
        <v>74</v>
      </c>
      <c r="G15" s="12" t="s">
        <v>41</v>
      </c>
      <c r="H15" s="12" t="s">
        <v>75</v>
      </c>
      <c r="I15" s="14" t="n">
        <v>6</v>
      </c>
      <c r="J15" s="12" t="s">
        <v>16</v>
      </c>
      <c r="K15" s="12" t="s">
        <v>76</v>
      </c>
      <c r="L15" s="15" t="s">
        <v>4</v>
      </c>
      <c r="M15" s="16"/>
    </row>
    <row r="16" customFormat="false" ht="23.85" hidden="false" customHeight="false" outlineLevel="0" collapsed="false">
      <c r="A16" s="12" t="n">
        <v>12</v>
      </c>
      <c r="B16" s="12" t="s">
        <v>77</v>
      </c>
      <c r="C16" s="12" t="s">
        <v>35</v>
      </c>
      <c r="D16" s="13" t="n">
        <v>3</v>
      </c>
      <c r="E16" s="12" t="s">
        <v>70</v>
      </c>
      <c r="F16" s="12" t="s">
        <v>78</v>
      </c>
      <c r="G16" s="12" t="s">
        <v>49</v>
      </c>
      <c r="H16" s="12" t="s">
        <v>79</v>
      </c>
      <c r="I16" s="13"/>
      <c r="J16" s="12" t="s">
        <v>18</v>
      </c>
      <c r="K16" s="12" t="s">
        <v>80</v>
      </c>
      <c r="L16" s="15" t="s">
        <v>4</v>
      </c>
      <c r="M16" s="16"/>
    </row>
    <row r="17" customFormat="false" ht="15" hidden="false" customHeight="false" outlineLevel="0" collapsed="false">
      <c r="A17" s="12" t="n">
        <v>13</v>
      </c>
      <c r="B17" s="12" t="s">
        <v>81</v>
      </c>
      <c r="C17" s="12" t="s">
        <v>35</v>
      </c>
      <c r="D17" s="13" t="n">
        <v>2</v>
      </c>
      <c r="E17" s="12" t="s">
        <v>82</v>
      </c>
      <c r="F17" s="12" t="s">
        <v>83</v>
      </c>
      <c r="G17" s="12" t="s">
        <v>41</v>
      </c>
      <c r="H17" s="12" t="s">
        <v>84</v>
      </c>
      <c r="I17" s="13"/>
      <c r="J17" s="12" t="s">
        <v>19</v>
      </c>
      <c r="K17" s="12" t="s">
        <v>85</v>
      </c>
      <c r="L17" s="15" t="s">
        <v>4</v>
      </c>
      <c r="M17" s="16"/>
    </row>
    <row r="18" customFormat="false" ht="23.85" hidden="false" customHeight="false" outlineLevel="0" collapsed="false">
      <c r="A18" s="12" t="n">
        <v>14</v>
      </c>
      <c r="B18" s="12" t="s">
        <v>86</v>
      </c>
      <c r="C18" s="12" t="s">
        <v>35</v>
      </c>
      <c r="D18" s="13" t="n">
        <v>3</v>
      </c>
      <c r="E18" s="12" t="s">
        <v>82</v>
      </c>
      <c r="F18" s="12" t="s">
        <v>87</v>
      </c>
      <c r="G18" s="12"/>
      <c r="H18" s="12"/>
      <c r="I18" s="14" t="n">
        <v>8</v>
      </c>
      <c r="J18" s="12" t="s">
        <v>16</v>
      </c>
      <c r="K18" s="12" t="s">
        <v>88</v>
      </c>
      <c r="L18" s="15" t="s">
        <v>4</v>
      </c>
      <c r="M18" s="16"/>
    </row>
    <row r="19" customFormat="false" ht="23.85" hidden="false" customHeight="false" outlineLevel="0" collapsed="false">
      <c r="A19" s="12" t="n">
        <v>15</v>
      </c>
      <c r="B19" s="12" t="s">
        <v>89</v>
      </c>
      <c r="C19" s="12" t="s">
        <v>35</v>
      </c>
      <c r="D19" s="13" t="n">
        <v>3</v>
      </c>
      <c r="E19" s="12" t="s">
        <v>90</v>
      </c>
      <c r="F19" s="12" t="s">
        <v>91</v>
      </c>
      <c r="G19" s="12"/>
      <c r="H19" s="12"/>
      <c r="I19" s="13"/>
      <c r="J19" s="12" t="s">
        <v>17</v>
      </c>
      <c r="K19" s="12" t="s">
        <v>92</v>
      </c>
      <c r="L19" s="15" t="s">
        <v>4</v>
      </c>
      <c r="M19" s="16"/>
    </row>
    <row r="20" customFormat="false" ht="23.85" hidden="false" customHeight="false" outlineLevel="0" collapsed="false">
      <c r="A20" s="12" t="n">
        <v>16</v>
      </c>
      <c r="B20" s="12" t="s">
        <v>93</v>
      </c>
      <c r="C20" s="12" t="s">
        <v>94</v>
      </c>
      <c r="D20" s="13" t="n">
        <v>0</v>
      </c>
      <c r="E20" s="12" t="s">
        <v>36</v>
      </c>
      <c r="F20" s="12" t="s">
        <v>95</v>
      </c>
      <c r="G20" s="12"/>
      <c r="H20" s="12"/>
      <c r="I20" s="14" t="n">
        <v>3</v>
      </c>
      <c r="J20" s="12" t="s">
        <v>16</v>
      </c>
      <c r="K20" s="12" t="s">
        <v>96</v>
      </c>
      <c r="L20" s="15" t="s">
        <v>4</v>
      </c>
      <c r="M20" s="16"/>
    </row>
    <row r="21" customFormat="false" ht="15" hidden="false" customHeight="false" outlineLevel="0" collapsed="false">
      <c r="A21" s="12" t="n">
        <v>17</v>
      </c>
      <c r="B21" s="12" t="s">
        <v>97</v>
      </c>
      <c r="C21" s="12" t="s">
        <v>94</v>
      </c>
      <c r="D21" s="13" t="n">
        <v>1</v>
      </c>
      <c r="E21" s="12" t="s">
        <v>36</v>
      </c>
      <c r="F21" s="12" t="s">
        <v>98</v>
      </c>
      <c r="G21" s="12"/>
      <c r="H21" s="12"/>
      <c r="I21" s="14" t="n">
        <v>3</v>
      </c>
      <c r="J21" s="12" t="s">
        <v>16</v>
      </c>
      <c r="K21" s="12" t="s">
        <v>99</v>
      </c>
      <c r="L21" s="15" t="s">
        <v>4</v>
      </c>
      <c r="M21" s="16"/>
    </row>
    <row r="22" customFormat="false" ht="15" hidden="false" customHeight="false" outlineLevel="0" collapsed="false">
      <c r="A22" s="12" t="n">
        <v>18</v>
      </c>
      <c r="B22" s="12" t="s">
        <v>100</v>
      </c>
      <c r="C22" s="12" t="s">
        <v>94</v>
      </c>
      <c r="D22" s="13" t="n">
        <v>1</v>
      </c>
      <c r="E22" s="12" t="s">
        <v>36</v>
      </c>
      <c r="F22" s="12" t="s">
        <v>101</v>
      </c>
      <c r="G22" s="12" t="s">
        <v>41</v>
      </c>
      <c r="H22" s="12" t="s">
        <v>102</v>
      </c>
      <c r="I22" s="13"/>
      <c r="J22" s="12" t="s">
        <v>18</v>
      </c>
      <c r="K22" s="12" t="s">
        <v>103</v>
      </c>
      <c r="L22" s="15" t="s">
        <v>4</v>
      </c>
      <c r="M22" s="16"/>
    </row>
    <row r="23" customFormat="false" ht="15" hidden="false" customHeight="false" outlineLevel="0" collapsed="false">
      <c r="A23" s="12" t="n">
        <v>19</v>
      </c>
      <c r="B23" s="12" t="s">
        <v>104</v>
      </c>
      <c r="C23" s="12" t="s">
        <v>94</v>
      </c>
      <c r="D23" s="13" t="n">
        <v>1</v>
      </c>
      <c r="E23" s="12" t="s">
        <v>36</v>
      </c>
      <c r="F23" s="12" t="s">
        <v>105</v>
      </c>
      <c r="G23" s="12" t="s">
        <v>49</v>
      </c>
      <c r="H23" s="12" t="s">
        <v>106</v>
      </c>
      <c r="I23" s="13"/>
      <c r="J23" s="12" t="s">
        <v>17</v>
      </c>
      <c r="K23" s="12" t="s">
        <v>107</v>
      </c>
      <c r="L23" s="15" t="s">
        <v>4</v>
      </c>
      <c r="M23" s="16"/>
    </row>
    <row r="24" customFormat="false" ht="15" hidden="false" customHeight="false" outlineLevel="0" collapsed="false">
      <c r="A24" s="12" t="n">
        <v>20</v>
      </c>
      <c r="B24" s="12" t="s">
        <v>108</v>
      </c>
      <c r="C24" s="12" t="s">
        <v>94</v>
      </c>
      <c r="D24" s="13" t="n">
        <v>2</v>
      </c>
      <c r="E24" s="12" t="s">
        <v>36</v>
      </c>
      <c r="F24" s="12" t="s">
        <v>109</v>
      </c>
      <c r="G24" s="12" t="s">
        <v>49</v>
      </c>
      <c r="H24" s="12" t="s">
        <v>110</v>
      </c>
      <c r="I24" s="13"/>
      <c r="J24" s="12" t="s">
        <v>18</v>
      </c>
      <c r="K24" s="12" t="s">
        <v>111</v>
      </c>
      <c r="L24" s="15" t="s">
        <v>4</v>
      </c>
      <c r="M24" s="16"/>
    </row>
    <row r="25" customFormat="false" ht="15" hidden="false" customHeight="false" outlineLevel="0" collapsed="false">
      <c r="A25" s="12" t="n">
        <v>21</v>
      </c>
      <c r="B25" s="12" t="s">
        <v>112</v>
      </c>
      <c r="C25" s="12" t="s">
        <v>94</v>
      </c>
      <c r="D25" s="13" t="n">
        <v>1</v>
      </c>
      <c r="E25" s="12" t="s">
        <v>56</v>
      </c>
      <c r="F25" s="12" t="s">
        <v>113</v>
      </c>
      <c r="G25" s="12" t="s">
        <v>41</v>
      </c>
      <c r="H25" s="12" t="s">
        <v>114</v>
      </c>
      <c r="I25" s="13"/>
      <c r="J25" s="12" t="s">
        <v>19</v>
      </c>
      <c r="K25" s="12" t="s">
        <v>115</v>
      </c>
      <c r="L25" s="15" t="s">
        <v>4</v>
      </c>
      <c r="M25" s="16"/>
    </row>
    <row r="26" customFormat="false" ht="15" hidden="false" customHeight="false" outlineLevel="0" collapsed="false">
      <c r="A26" s="12" t="n">
        <v>22</v>
      </c>
      <c r="B26" s="12" t="s">
        <v>116</v>
      </c>
      <c r="C26" s="12" t="s">
        <v>94</v>
      </c>
      <c r="D26" s="13" t="n">
        <v>1</v>
      </c>
      <c r="E26" s="12" t="s">
        <v>56</v>
      </c>
      <c r="F26" s="12" t="s">
        <v>117</v>
      </c>
      <c r="G26" s="12"/>
      <c r="H26" s="12"/>
      <c r="I26" s="14" t="n">
        <v>4</v>
      </c>
      <c r="J26" s="12" t="s">
        <v>16</v>
      </c>
      <c r="K26" s="12" t="s">
        <v>118</v>
      </c>
      <c r="L26" s="15" t="s">
        <v>4</v>
      </c>
      <c r="M26" s="16"/>
    </row>
    <row r="27" customFormat="false" ht="15" hidden="false" customHeight="false" outlineLevel="0" collapsed="false">
      <c r="A27" s="12" t="n">
        <v>23</v>
      </c>
      <c r="B27" s="12" t="s">
        <v>119</v>
      </c>
      <c r="C27" s="12" t="s">
        <v>94</v>
      </c>
      <c r="D27" s="13" t="n">
        <v>2</v>
      </c>
      <c r="E27" s="12" t="s">
        <v>56</v>
      </c>
      <c r="F27" s="12" t="s">
        <v>120</v>
      </c>
      <c r="G27" s="12"/>
      <c r="H27" s="12"/>
      <c r="I27" s="13"/>
      <c r="J27" s="12" t="s">
        <v>17</v>
      </c>
      <c r="K27" s="12" t="s">
        <v>121</v>
      </c>
      <c r="L27" s="15" t="s">
        <v>4</v>
      </c>
      <c r="M27" s="16"/>
    </row>
    <row r="28" customFormat="false" ht="15" hidden="false" customHeight="false" outlineLevel="0" collapsed="false">
      <c r="A28" s="12" t="n">
        <v>24</v>
      </c>
      <c r="B28" s="12" t="s">
        <v>122</v>
      </c>
      <c r="C28" s="12" t="s">
        <v>94</v>
      </c>
      <c r="D28" s="13" t="n">
        <v>1</v>
      </c>
      <c r="E28" s="12" t="s">
        <v>56</v>
      </c>
      <c r="F28" s="12" t="s">
        <v>123</v>
      </c>
      <c r="G28" s="12" t="s">
        <v>49</v>
      </c>
      <c r="H28" s="12" t="s">
        <v>110</v>
      </c>
      <c r="I28" s="13"/>
      <c r="J28" s="12" t="s">
        <v>19</v>
      </c>
      <c r="K28" s="12" t="s">
        <v>124</v>
      </c>
      <c r="L28" s="15" t="s">
        <v>4</v>
      </c>
      <c r="M28" s="16"/>
    </row>
    <row r="29" customFormat="false" ht="23.85" hidden="false" customHeight="false" outlineLevel="0" collapsed="false">
      <c r="A29" s="12" t="n">
        <v>25</v>
      </c>
      <c r="B29" s="12" t="s">
        <v>125</v>
      </c>
      <c r="C29" s="12" t="s">
        <v>94</v>
      </c>
      <c r="D29" s="13" t="n">
        <v>2</v>
      </c>
      <c r="E29" s="12" t="s">
        <v>70</v>
      </c>
      <c r="F29" s="12" t="s">
        <v>126</v>
      </c>
      <c r="G29" s="12"/>
      <c r="H29" s="12"/>
      <c r="I29" s="13"/>
      <c r="J29" s="12" t="s">
        <v>18</v>
      </c>
      <c r="K29" s="12" t="s">
        <v>127</v>
      </c>
      <c r="L29" s="15" t="s">
        <v>4</v>
      </c>
      <c r="M29" s="16"/>
    </row>
    <row r="30" customFormat="false" ht="15" hidden="false" customHeight="false" outlineLevel="0" collapsed="false">
      <c r="A30" s="12" t="n">
        <v>26</v>
      </c>
      <c r="B30" s="12" t="s">
        <v>128</v>
      </c>
      <c r="C30" s="12" t="s">
        <v>94</v>
      </c>
      <c r="D30" s="13" t="n">
        <v>0</v>
      </c>
      <c r="E30" s="12" t="s">
        <v>70</v>
      </c>
      <c r="F30" s="12" t="s">
        <v>129</v>
      </c>
      <c r="G30" s="12"/>
      <c r="H30" s="12"/>
      <c r="I30" s="14" t="n">
        <v>6</v>
      </c>
      <c r="J30" s="12" t="s">
        <v>16</v>
      </c>
      <c r="K30" s="12" t="s">
        <v>130</v>
      </c>
      <c r="L30" s="15" t="s">
        <v>4</v>
      </c>
      <c r="M30" s="16"/>
    </row>
    <row r="31" customFormat="false" ht="15" hidden="false" customHeight="false" outlineLevel="0" collapsed="false">
      <c r="A31" s="12" t="n">
        <v>27</v>
      </c>
      <c r="B31" s="12" t="s">
        <v>131</v>
      </c>
      <c r="C31" s="12" t="s">
        <v>94</v>
      </c>
      <c r="D31" s="13" t="n">
        <v>1</v>
      </c>
      <c r="E31" s="12" t="s">
        <v>70</v>
      </c>
      <c r="F31" s="12" t="s">
        <v>132</v>
      </c>
      <c r="G31" s="12"/>
      <c r="H31" s="12"/>
      <c r="I31" s="13"/>
      <c r="J31" s="12" t="s">
        <v>17</v>
      </c>
      <c r="K31" s="12" t="s">
        <v>133</v>
      </c>
      <c r="L31" s="15" t="s">
        <v>4</v>
      </c>
      <c r="M31" s="16"/>
    </row>
    <row r="32" customFormat="false" ht="15" hidden="false" customHeight="false" outlineLevel="0" collapsed="false">
      <c r="A32" s="12" t="n">
        <v>28</v>
      </c>
      <c r="B32" s="12" t="s">
        <v>134</v>
      </c>
      <c r="C32" s="12" t="s">
        <v>94</v>
      </c>
      <c r="D32" s="13" t="n">
        <v>2</v>
      </c>
      <c r="E32" s="12" t="s">
        <v>82</v>
      </c>
      <c r="F32" s="12" t="s">
        <v>135</v>
      </c>
      <c r="G32" s="12"/>
      <c r="H32" s="12"/>
      <c r="I32" s="13"/>
      <c r="J32" s="12" t="s">
        <v>18</v>
      </c>
      <c r="K32" s="12" t="s">
        <v>136</v>
      </c>
      <c r="L32" s="15" t="s">
        <v>4</v>
      </c>
      <c r="M32" s="16"/>
    </row>
    <row r="33" customFormat="false" ht="23.85" hidden="false" customHeight="false" outlineLevel="0" collapsed="false">
      <c r="A33" s="12" t="n">
        <v>29</v>
      </c>
      <c r="B33" s="12" t="s">
        <v>137</v>
      </c>
      <c r="C33" s="12" t="s">
        <v>94</v>
      </c>
      <c r="D33" s="13" t="n">
        <v>3</v>
      </c>
      <c r="E33" s="12" t="s">
        <v>90</v>
      </c>
      <c r="F33" s="12" t="s">
        <v>138</v>
      </c>
      <c r="G33" s="12"/>
      <c r="H33" s="12"/>
      <c r="I33" s="13"/>
      <c r="J33" s="12" t="s">
        <v>18</v>
      </c>
      <c r="K33" s="12" t="s">
        <v>139</v>
      </c>
      <c r="L33" s="15" t="s">
        <v>4</v>
      </c>
      <c r="M33" s="16"/>
    </row>
    <row r="34" customFormat="false" ht="23.85" hidden="false" customHeight="false" outlineLevel="0" collapsed="false">
      <c r="A34" s="12" t="n">
        <v>30</v>
      </c>
      <c r="B34" s="12" t="s">
        <v>140</v>
      </c>
      <c r="C34" s="12" t="s">
        <v>141</v>
      </c>
      <c r="D34" s="13" t="n">
        <v>1</v>
      </c>
      <c r="E34" s="12" t="s">
        <v>56</v>
      </c>
      <c r="F34" s="12" t="s">
        <v>142</v>
      </c>
      <c r="G34" s="12"/>
      <c r="H34" s="12"/>
      <c r="I34" s="14" t="n">
        <v>2</v>
      </c>
      <c r="J34" s="12" t="s">
        <v>16</v>
      </c>
      <c r="K34" s="12" t="s">
        <v>143</v>
      </c>
      <c r="L34" s="15" t="s">
        <v>4</v>
      </c>
      <c r="M34" s="16"/>
    </row>
    <row r="35" customFormat="false" ht="15" hidden="false" customHeight="false" outlineLevel="0" collapsed="false">
      <c r="A35" s="12" t="n">
        <v>31</v>
      </c>
      <c r="B35" s="12" t="s">
        <v>144</v>
      </c>
      <c r="C35" s="12" t="s">
        <v>141</v>
      </c>
      <c r="D35" s="13" t="n">
        <v>1</v>
      </c>
      <c r="E35" s="12" t="s">
        <v>56</v>
      </c>
      <c r="F35" s="12" t="s">
        <v>145</v>
      </c>
      <c r="G35" s="12"/>
      <c r="H35" s="12"/>
      <c r="I35" s="13"/>
      <c r="J35" s="12" t="s">
        <v>17</v>
      </c>
      <c r="K35" s="12" t="s">
        <v>146</v>
      </c>
      <c r="L35" s="15" t="s">
        <v>4</v>
      </c>
      <c r="M35" s="16"/>
    </row>
    <row r="36" customFormat="false" ht="15" hidden="false" customHeight="false" outlineLevel="0" collapsed="false">
      <c r="A36" s="12" t="n">
        <v>32</v>
      </c>
      <c r="B36" s="12" t="s">
        <v>147</v>
      </c>
      <c r="C36" s="12" t="s">
        <v>141</v>
      </c>
      <c r="D36" s="13" t="n">
        <v>2</v>
      </c>
      <c r="E36" s="12" t="s">
        <v>70</v>
      </c>
      <c r="F36" s="12" t="s">
        <v>148</v>
      </c>
      <c r="G36" s="12"/>
      <c r="H36" s="12"/>
      <c r="I36" s="13"/>
      <c r="J36" s="12" t="s">
        <v>16</v>
      </c>
      <c r="K36" s="12" t="s">
        <v>149</v>
      </c>
      <c r="L36" s="15" t="s">
        <v>4</v>
      </c>
      <c r="M36" s="16"/>
    </row>
    <row r="37" customFormat="false" ht="15" hidden="false" customHeight="false" outlineLevel="0" collapsed="false">
      <c r="A37" s="12" t="n">
        <v>33</v>
      </c>
      <c r="B37" s="12" t="s">
        <v>150</v>
      </c>
      <c r="C37" s="12" t="s">
        <v>141</v>
      </c>
      <c r="D37" s="13" t="n">
        <v>2</v>
      </c>
      <c r="E37" s="12" t="s">
        <v>70</v>
      </c>
      <c r="F37" s="12" t="s">
        <v>151</v>
      </c>
      <c r="G37" s="12"/>
      <c r="H37" s="12"/>
      <c r="I37" s="13"/>
      <c r="J37" s="12" t="s">
        <v>17</v>
      </c>
      <c r="K37" s="12" t="s">
        <v>152</v>
      </c>
      <c r="L37" s="15" t="s">
        <v>4</v>
      </c>
      <c r="M37" s="16"/>
    </row>
    <row r="38" customFormat="false" ht="15" hidden="false" customHeight="false" outlineLevel="0" collapsed="false">
      <c r="A38" s="12" t="n">
        <v>34</v>
      </c>
      <c r="B38" s="12" t="s">
        <v>153</v>
      </c>
      <c r="C38" s="12" t="s">
        <v>141</v>
      </c>
      <c r="D38" s="13" t="n">
        <v>2</v>
      </c>
      <c r="E38" s="12" t="s">
        <v>82</v>
      </c>
      <c r="F38" s="12" t="s">
        <v>154</v>
      </c>
      <c r="G38" s="12"/>
      <c r="H38" s="12"/>
      <c r="I38" s="13"/>
      <c r="J38" s="12" t="s">
        <v>18</v>
      </c>
      <c r="K38" s="12" t="s">
        <v>155</v>
      </c>
      <c r="L38" s="15" t="s">
        <v>4</v>
      </c>
      <c r="M38" s="16"/>
    </row>
    <row r="39" customFormat="false" ht="15" hidden="false" customHeight="false" outlineLevel="0" collapsed="false">
      <c r="A39" s="12" t="n">
        <v>35</v>
      </c>
      <c r="B39" s="12" t="s">
        <v>156</v>
      </c>
      <c r="C39" s="12" t="s">
        <v>141</v>
      </c>
      <c r="D39" s="13" t="n">
        <v>3</v>
      </c>
      <c r="E39" s="12" t="s">
        <v>90</v>
      </c>
      <c r="F39" s="12" t="s">
        <v>157</v>
      </c>
      <c r="G39" s="12"/>
      <c r="H39" s="12"/>
      <c r="I39" s="13"/>
      <c r="J39" s="12" t="s">
        <v>19</v>
      </c>
      <c r="K39" s="12" t="s">
        <v>158</v>
      </c>
      <c r="L39" s="15" t="s">
        <v>4</v>
      </c>
      <c r="M39" s="16"/>
    </row>
    <row r="40" customFormat="false" ht="15" hidden="false" customHeight="false" outlineLevel="0" collapsed="false">
      <c r="A40" s="12" t="n">
        <v>36</v>
      </c>
      <c r="B40" s="12" t="s">
        <v>159</v>
      </c>
      <c r="C40" s="12" t="s">
        <v>141</v>
      </c>
      <c r="D40" s="13" t="n">
        <v>2</v>
      </c>
      <c r="E40" s="12" t="s">
        <v>90</v>
      </c>
      <c r="F40" s="12" t="s">
        <v>160</v>
      </c>
      <c r="G40" s="12"/>
      <c r="H40" s="12"/>
      <c r="I40" s="13"/>
      <c r="J40" s="12" t="s">
        <v>16</v>
      </c>
      <c r="K40" s="12" t="s">
        <v>161</v>
      </c>
      <c r="L40" s="15" t="s">
        <v>4</v>
      </c>
      <c r="M40" s="16"/>
    </row>
  </sheetData>
  <autoFilter ref="A4:M40"/>
  <mergeCells count="1">
    <mergeCell ref="A2:N2"/>
  </mergeCells>
  <conditionalFormatting sqref="L5:L40">
    <cfRule type="expression" priority="2" aboveAverage="0" equalAverage="0" bottom="0" percent="0" rank="0" text="" dxfId="6">
      <formula>$L5="Aprobada"</formula>
    </cfRule>
    <cfRule type="expression" priority="3" aboveAverage="0" equalAverage="0" bottom="0" percent="0" rank="0" text="" dxfId="7">
      <formula>$L5="Ajustar"</formula>
    </cfRule>
    <cfRule type="expression" priority="4" aboveAverage="0" equalAverage="0" bottom="0" percent="0" rank="0" text="" dxfId="8">
      <formula>$L5="Rechazada"</formula>
    </cfRule>
  </conditionalFormatting>
  <dataValidations count="1">
    <dataValidation allowBlank="true" error="Elige: Pendiente, Aprobada, Ajustar, Rechazada" errorStyle="stop" errorTitle="Estado no válido" operator="between" showDropDown="false" showErrorMessage="false" showInputMessage="false" sqref="L5:L40" type="list">
      <formula1>"Pendiente,Aprobada,Ajustar,Rechazada"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164</v>
      </c>
      <c r="F4" s="11" t="s">
        <v>165</v>
      </c>
      <c r="G4" s="11" t="s">
        <v>166</v>
      </c>
      <c r="H4" s="11" t="s">
        <v>32</v>
      </c>
      <c r="I4" s="11" t="s">
        <v>33</v>
      </c>
    </row>
    <row r="5" customFormat="false" ht="15" hidden="false" customHeight="false" outlineLevel="0" collapsed="false">
      <c r="A5" s="12" t="n">
        <v>1</v>
      </c>
      <c r="B5" s="12" t="s">
        <v>167</v>
      </c>
      <c r="C5" s="12" t="s">
        <v>35</v>
      </c>
      <c r="D5" s="12" t="n">
        <v>2</v>
      </c>
      <c r="E5" s="12" t="s">
        <v>168</v>
      </c>
      <c r="F5" s="12" t="s">
        <v>169</v>
      </c>
      <c r="G5" s="12" t="s">
        <v>170</v>
      </c>
      <c r="H5" s="15" t="s">
        <v>4</v>
      </c>
      <c r="I5" s="16"/>
    </row>
    <row r="6" customFormat="false" ht="15" hidden="false" customHeight="false" outlineLevel="0" collapsed="false">
      <c r="A6" s="12" t="n">
        <v>2</v>
      </c>
      <c r="B6" s="12" t="s">
        <v>171</v>
      </c>
      <c r="C6" s="12" t="s">
        <v>35</v>
      </c>
      <c r="D6" s="12" t="n">
        <v>3</v>
      </c>
      <c r="E6" s="12" t="s">
        <v>172</v>
      </c>
      <c r="F6" s="12" t="s">
        <v>169</v>
      </c>
      <c r="G6" s="12" t="s">
        <v>173</v>
      </c>
      <c r="H6" s="15" t="s">
        <v>4</v>
      </c>
      <c r="I6" s="16"/>
    </row>
    <row r="7" customFormat="false" ht="15" hidden="false" customHeight="false" outlineLevel="0" collapsed="false">
      <c r="A7" s="12" t="n">
        <v>3</v>
      </c>
      <c r="B7" s="12" t="s">
        <v>174</v>
      </c>
      <c r="C7" s="12" t="s">
        <v>35</v>
      </c>
      <c r="D7" s="12" t="n">
        <v>2</v>
      </c>
      <c r="E7" s="12" t="s">
        <v>175</v>
      </c>
      <c r="F7" s="12" t="s">
        <v>169</v>
      </c>
      <c r="G7" s="12" t="s">
        <v>176</v>
      </c>
      <c r="H7" s="15" t="s">
        <v>4</v>
      </c>
      <c r="I7" s="16"/>
    </row>
    <row r="8" customFormat="false" ht="15" hidden="false" customHeight="false" outlineLevel="0" collapsed="false">
      <c r="A8" s="12" t="n">
        <v>4</v>
      </c>
      <c r="B8" s="12" t="s">
        <v>177</v>
      </c>
      <c r="C8" s="12" t="s">
        <v>94</v>
      </c>
      <c r="D8" s="12" t="n">
        <v>2</v>
      </c>
      <c r="E8" s="12" t="s">
        <v>178</v>
      </c>
      <c r="F8" s="12" t="s">
        <v>169</v>
      </c>
      <c r="G8" s="12" t="s">
        <v>179</v>
      </c>
      <c r="H8" s="15" t="s">
        <v>4</v>
      </c>
      <c r="I8" s="16"/>
    </row>
    <row r="9" customFormat="false" ht="15" hidden="false" customHeight="false" outlineLevel="0" collapsed="false">
      <c r="A9" s="12" t="n">
        <v>5</v>
      </c>
      <c r="B9" s="12" t="s">
        <v>180</v>
      </c>
      <c r="C9" s="12" t="s">
        <v>94</v>
      </c>
      <c r="D9" s="12" t="n">
        <v>3</v>
      </c>
      <c r="E9" s="12" t="s">
        <v>181</v>
      </c>
      <c r="F9" s="12" t="s">
        <v>6</v>
      </c>
      <c r="G9" s="12" t="s">
        <v>182</v>
      </c>
      <c r="H9" s="15" t="s">
        <v>4</v>
      </c>
      <c r="I9" s="16"/>
    </row>
    <row r="10" customFormat="false" ht="15" hidden="false" customHeight="false" outlineLevel="0" collapsed="false">
      <c r="A10" s="12" t="n">
        <v>6</v>
      </c>
      <c r="B10" s="12" t="s">
        <v>183</v>
      </c>
      <c r="C10" s="12" t="s">
        <v>94</v>
      </c>
      <c r="D10" s="12" t="n">
        <v>3</v>
      </c>
      <c r="E10" s="12" t="s">
        <v>184</v>
      </c>
      <c r="F10" s="12" t="s">
        <v>169</v>
      </c>
      <c r="G10" s="12" t="s">
        <v>185</v>
      </c>
      <c r="H10" s="15" t="s">
        <v>4</v>
      </c>
      <c r="I10" s="16"/>
    </row>
    <row r="11" customFormat="false" ht="15" hidden="false" customHeight="false" outlineLevel="0" collapsed="false">
      <c r="A11" s="12" t="n">
        <v>7</v>
      </c>
      <c r="B11" s="12" t="s">
        <v>186</v>
      </c>
      <c r="C11" s="12" t="s">
        <v>94</v>
      </c>
      <c r="D11" s="12" t="n">
        <v>1</v>
      </c>
      <c r="E11" s="12" t="s">
        <v>187</v>
      </c>
      <c r="F11" s="12" t="s">
        <v>188</v>
      </c>
      <c r="G11" s="12" t="s">
        <v>189</v>
      </c>
      <c r="H11" s="15" t="s">
        <v>4</v>
      </c>
      <c r="I11" s="16"/>
    </row>
    <row r="12" customFormat="false" ht="15" hidden="false" customHeight="false" outlineLevel="0" collapsed="false">
      <c r="A12" s="12" t="n">
        <v>8</v>
      </c>
      <c r="B12" s="12" t="s">
        <v>190</v>
      </c>
      <c r="C12" s="12" t="s">
        <v>94</v>
      </c>
      <c r="D12" s="12" t="n">
        <v>1</v>
      </c>
      <c r="E12" s="12" t="s">
        <v>191</v>
      </c>
      <c r="F12" s="12" t="s">
        <v>188</v>
      </c>
      <c r="G12" s="12" t="s">
        <v>192</v>
      </c>
      <c r="H12" s="15" t="s">
        <v>4</v>
      </c>
      <c r="I12" s="16"/>
    </row>
    <row r="13" customFormat="false" ht="15" hidden="false" customHeight="false" outlineLevel="0" collapsed="false">
      <c r="A13" s="12" t="n">
        <v>9</v>
      </c>
      <c r="B13" s="12" t="s">
        <v>193</v>
      </c>
      <c r="C13" s="12" t="s">
        <v>35</v>
      </c>
      <c r="D13" s="12" t="n">
        <v>2</v>
      </c>
      <c r="E13" s="12" t="s">
        <v>194</v>
      </c>
      <c r="F13" s="12" t="s">
        <v>195</v>
      </c>
      <c r="G13" s="12" t="s">
        <v>196</v>
      </c>
      <c r="H13" s="15" t="s">
        <v>4</v>
      </c>
      <c r="I13" s="16"/>
    </row>
    <row r="14" customFormat="false" ht="15" hidden="false" customHeight="false" outlineLevel="0" collapsed="false">
      <c r="A14" s="12" t="n">
        <v>10</v>
      </c>
      <c r="B14" s="12" t="s">
        <v>197</v>
      </c>
      <c r="C14" s="12" t="s">
        <v>94</v>
      </c>
      <c r="D14" s="12" t="n">
        <v>2</v>
      </c>
      <c r="E14" s="12" t="s">
        <v>198</v>
      </c>
      <c r="F14" s="12" t="s">
        <v>6</v>
      </c>
      <c r="G14" s="12" t="s">
        <v>199</v>
      </c>
      <c r="H14" s="15" t="s">
        <v>4</v>
      </c>
      <c r="I14" s="16"/>
    </row>
    <row r="15" customFormat="false" ht="15" hidden="false" customHeight="false" outlineLevel="0" collapsed="false">
      <c r="A15" s="12" t="n">
        <v>11</v>
      </c>
      <c r="B15" s="12" t="s">
        <v>200</v>
      </c>
      <c r="C15" s="12" t="s">
        <v>94</v>
      </c>
      <c r="D15" s="12" t="n">
        <v>3</v>
      </c>
      <c r="E15" s="12" t="s">
        <v>201</v>
      </c>
      <c r="F15" s="12" t="s">
        <v>6</v>
      </c>
      <c r="G15" s="12" t="s">
        <v>202</v>
      </c>
      <c r="H15" s="15" t="s">
        <v>4</v>
      </c>
      <c r="I15" s="16"/>
    </row>
    <row r="16" customFormat="false" ht="15" hidden="false" customHeight="false" outlineLevel="0" collapsed="false">
      <c r="A16" s="12" t="n">
        <v>12</v>
      </c>
      <c r="B16" s="12" t="s">
        <v>203</v>
      </c>
      <c r="C16" s="12" t="s">
        <v>35</v>
      </c>
      <c r="D16" s="12" t="n">
        <v>3</v>
      </c>
      <c r="E16" s="12" t="s">
        <v>204</v>
      </c>
      <c r="F16" s="12" t="s">
        <v>6</v>
      </c>
      <c r="G16" s="12" t="s">
        <v>205</v>
      </c>
      <c r="H16" s="15" t="s">
        <v>4</v>
      </c>
      <c r="I16" s="16"/>
    </row>
  </sheetData>
  <autoFilter ref="A4:I16"/>
  <conditionalFormatting sqref="H5:H16">
    <cfRule type="expression" priority="2" aboveAverage="0" equalAverage="0" bottom="0" percent="0" rank="0" text="" dxfId="6">
      <formula>$H5="Aprobada"</formula>
    </cfRule>
    <cfRule type="expression" priority="3" aboveAverage="0" equalAverage="0" bottom="0" percent="0" rank="0" text="" dxfId="7">
      <formula>$H5="Ajustar"</formula>
    </cfRule>
    <cfRule type="expression" priority="4" aboveAverage="0" equalAverage="0" bottom="0" percent="0" rank="0" text="" dxfId="8">
      <formula>$H5="Rechazada"</formula>
    </cfRule>
  </conditionalFormatting>
  <dataValidations count="1">
    <dataValidation allowBlank="true" error="Elige: Pendiente, Aprobada, Ajustar, Rechazada" errorStyle="stop" errorTitle="Estado no válido" operator="between" showDropDown="false" showErrorMessage="false" showInputMessage="false" sqref="H5:H16" type="list">
      <formula1>"Pendiente,Aprobada,Ajustar,Rechazada"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46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11" t="s">
        <v>22</v>
      </c>
      <c r="B4" s="11" t="s">
        <v>207</v>
      </c>
      <c r="C4" s="11" t="s">
        <v>24</v>
      </c>
      <c r="D4" s="11" t="s">
        <v>208</v>
      </c>
      <c r="E4" s="11" t="s">
        <v>209</v>
      </c>
      <c r="F4" s="11" t="s">
        <v>32</v>
      </c>
      <c r="G4" s="11" t="s">
        <v>33</v>
      </c>
    </row>
    <row r="5" customFormat="false" ht="23.85" hidden="false" customHeight="false" outlineLevel="0" collapsed="false">
      <c r="A5" s="12" t="n">
        <v>1</v>
      </c>
      <c r="B5" s="12" t="s">
        <v>210</v>
      </c>
      <c r="C5" s="12" t="s">
        <v>32</v>
      </c>
      <c r="D5" s="12" t="s">
        <v>211</v>
      </c>
      <c r="E5" s="12" t="s">
        <v>212</v>
      </c>
      <c r="F5" s="15" t="s">
        <v>4</v>
      </c>
      <c r="G5" s="16"/>
    </row>
    <row r="6" customFormat="false" ht="23.85" hidden="false" customHeight="false" outlineLevel="0" collapsed="false">
      <c r="A6" s="12" t="n">
        <v>2</v>
      </c>
      <c r="B6" s="12" t="s">
        <v>213</v>
      </c>
      <c r="C6" s="12" t="s">
        <v>208</v>
      </c>
      <c r="D6" s="12" t="s">
        <v>214</v>
      </c>
      <c r="E6" s="12" t="s">
        <v>215</v>
      </c>
      <c r="F6" s="15" t="s">
        <v>4</v>
      </c>
      <c r="G6" s="16"/>
    </row>
    <row r="7" customFormat="false" ht="23.85" hidden="false" customHeight="false" outlineLevel="0" collapsed="false">
      <c r="A7" s="12" t="n">
        <v>3</v>
      </c>
      <c r="B7" s="12" t="s">
        <v>216</v>
      </c>
      <c r="C7" s="12" t="s">
        <v>208</v>
      </c>
      <c r="D7" s="12" t="s">
        <v>217</v>
      </c>
      <c r="E7" s="12" t="s">
        <v>218</v>
      </c>
      <c r="F7" s="15" t="s">
        <v>4</v>
      </c>
      <c r="G7" s="16"/>
    </row>
    <row r="8" customFormat="false" ht="35.05" hidden="false" customHeight="false" outlineLevel="0" collapsed="false">
      <c r="A8" s="12" t="n">
        <v>4</v>
      </c>
      <c r="B8" s="12" t="s">
        <v>41</v>
      </c>
      <c r="C8" s="12" t="s">
        <v>28</v>
      </c>
      <c r="D8" s="12" t="s">
        <v>219</v>
      </c>
      <c r="E8" s="12" t="s">
        <v>220</v>
      </c>
      <c r="F8" s="15" t="s">
        <v>4</v>
      </c>
      <c r="G8" s="16"/>
    </row>
    <row r="9" customFormat="false" ht="23.85" hidden="false" customHeight="false" outlineLevel="0" collapsed="false">
      <c r="A9" s="12" t="n">
        <v>5</v>
      </c>
      <c r="B9" s="12" t="s">
        <v>49</v>
      </c>
      <c r="C9" s="12" t="s">
        <v>28</v>
      </c>
      <c r="D9" s="12" t="s">
        <v>221</v>
      </c>
      <c r="E9" s="12" t="s">
        <v>222</v>
      </c>
      <c r="F9" s="15" t="s">
        <v>4</v>
      </c>
      <c r="G9" s="16"/>
    </row>
  </sheetData>
  <autoFilter ref="A4:G9"/>
  <conditionalFormatting sqref="F5:F9">
    <cfRule type="expression" priority="2" aboveAverage="0" equalAverage="0" bottom="0" percent="0" rank="0" text="" dxfId="6">
      <formula>$F5="Aprobada"</formula>
    </cfRule>
    <cfRule type="expression" priority="3" aboveAverage="0" equalAverage="0" bottom="0" percent="0" rank="0" text="" dxfId="7">
      <formula>$F5="Ajustar"</formula>
    </cfRule>
    <cfRule type="expression" priority="4" aboveAverage="0" equalAverage="0" bottom="0" percent="0" rank="0" text="" dxfId="8">
      <formula>$F5="Rechazada"</formula>
    </cfRule>
  </conditionalFormatting>
  <dataValidations count="1">
    <dataValidation allowBlank="true" error="Elige: Pendiente, Aprobada, Ajustar, Rechazada" errorStyle="stop" errorTitle="Estado no válido" operator="between" showDropDown="false" showErrorMessage="false" showInputMessage="false" sqref="F5:F9" type="list">
      <formula1>"Pendiente,Aprobada,Ajustar,Rechazada"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5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11" t="s">
        <v>22</v>
      </c>
      <c r="B4" s="11" t="s">
        <v>224</v>
      </c>
      <c r="C4" s="11" t="s">
        <v>26</v>
      </c>
      <c r="D4" s="11" t="s">
        <v>27</v>
      </c>
      <c r="E4" s="11" t="s">
        <v>32</v>
      </c>
      <c r="F4" s="11" t="s">
        <v>33</v>
      </c>
    </row>
    <row r="5" customFormat="false" ht="15" hidden="false" customHeight="false" outlineLevel="0" collapsed="false">
      <c r="A5" s="12" t="n">
        <v>1</v>
      </c>
      <c r="B5" s="12" t="s">
        <v>225</v>
      </c>
      <c r="C5" s="12" t="s">
        <v>36</v>
      </c>
      <c r="D5" s="12" t="s">
        <v>226</v>
      </c>
      <c r="E5" s="15" t="s">
        <v>4</v>
      </c>
      <c r="F5" s="16"/>
    </row>
    <row r="6" customFormat="false" ht="15" hidden="false" customHeight="false" outlineLevel="0" collapsed="false">
      <c r="A6" s="12" t="n">
        <v>2</v>
      </c>
      <c r="B6" s="12" t="s">
        <v>227</v>
      </c>
      <c r="C6" s="12" t="s">
        <v>36</v>
      </c>
      <c r="D6" s="12" t="s">
        <v>228</v>
      </c>
      <c r="E6" s="15" t="s">
        <v>4</v>
      </c>
      <c r="F6" s="16"/>
    </row>
    <row r="7" customFormat="false" ht="15" hidden="false" customHeight="false" outlineLevel="0" collapsed="false">
      <c r="A7" s="12" t="n">
        <v>3</v>
      </c>
      <c r="B7" s="12" t="s">
        <v>229</v>
      </c>
      <c r="C7" s="12" t="s">
        <v>56</v>
      </c>
      <c r="D7" s="12" t="s">
        <v>230</v>
      </c>
      <c r="E7" s="15" t="s">
        <v>4</v>
      </c>
      <c r="F7" s="16"/>
    </row>
    <row r="8" customFormat="false" ht="15" hidden="false" customHeight="false" outlineLevel="0" collapsed="false">
      <c r="A8" s="12" t="n">
        <v>4</v>
      </c>
      <c r="B8" s="12" t="s">
        <v>231</v>
      </c>
      <c r="C8" s="12" t="s">
        <v>56</v>
      </c>
      <c r="D8" s="12" t="s">
        <v>232</v>
      </c>
      <c r="E8" s="15" t="s">
        <v>4</v>
      </c>
      <c r="F8" s="16"/>
    </row>
    <row r="9" customFormat="false" ht="15" hidden="false" customHeight="false" outlineLevel="0" collapsed="false">
      <c r="A9" s="12" t="n">
        <v>5</v>
      </c>
      <c r="B9" s="12" t="s">
        <v>233</v>
      </c>
      <c r="C9" s="12" t="s">
        <v>70</v>
      </c>
      <c r="D9" s="12" t="s">
        <v>234</v>
      </c>
      <c r="E9" s="15" t="s">
        <v>4</v>
      </c>
      <c r="F9" s="16"/>
    </row>
    <row r="10" customFormat="false" ht="15" hidden="false" customHeight="false" outlineLevel="0" collapsed="false">
      <c r="A10" s="12" t="n">
        <v>6</v>
      </c>
      <c r="B10" s="12" t="s">
        <v>235</v>
      </c>
      <c r="C10" s="12" t="s">
        <v>82</v>
      </c>
      <c r="D10" s="12" t="s">
        <v>236</v>
      </c>
      <c r="E10" s="15" t="s">
        <v>4</v>
      </c>
      <c r="F10" s="16"/>
    </row>
    <row r="11" customFormat="false" ht="15" hidden="false" customHeight="false" outlineLevel="0" collapsed="false">
      <c r="A11" s="12" t="n">
        <v>7</v>
      </c>
      <c r="B11" s="12" t="s">
        <v>237</v>
      </c>
      <c r="C11" s="12" t="s">
        <v>90</v>
      </c>
      <c r="D11" s="12" t="s">
        <v>238</v>
      </c>
      <c r="E11" s="15" t="s">
        <v>4</v>
      </c>
      <c r="F11" s="16"/>
    </row>
  </sheetData>
  <autoFilter ref="A4:F11"/>
  <conditionalFormatting sqref="E5:E11">
    <cfRule type="expression" priority="2" aboveAverage="0" equalAverage="0" bottom="0" percent="0" rank="0" text="" dxfId="6">
      <formula>$E5="Aprobada"</formula>
    </cfRule>
    <cfRule type="expression" priority="3" aboveAverage="0" equalAverage="0" bottom="0" percent="0" rank="0" text="" dxfId="7">
      <formula>$E5="Ajustar"</formula>
    </cfRule>
    <cfRule type="expression" priority="4" aboveAverage="0" equalAverage="0" bottom="0" percent="0" rank="0" text="" dxfId="8">
      <formula>$E5="Rechazada"</formula>
    </cfRule>
  </conditionalFormatting>
  <dataValidations count="1">
    <dataValidation allowBlank="true" error="Elige: Pendiente, Aprobada, Ajustar, Rechazada" errorStyle="stop" errorTitle="Estado no válido" operator="between" showDropDown="false" showErrorMessage="false" showInputMessage="false" sqref="E5:E11" type="list">
      <formula1>"Pendiente,Aprobada,Ajustar,Rechazada"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2026-10-17T02:18:25Z</dcterms:created>
  <dc:creator>openpyxl</dc:creator>
  <dc:description/>
  <dc:language>en-US</dc:language>
  <cp:lastModifiedBy/>
  <dcterms:modified xsi:type="dcterms:W3CDTF">2026-10-17T02:18:26Z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